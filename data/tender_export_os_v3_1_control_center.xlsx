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062ed5cf7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_Lists" sheetId="1" r:id="R9e5955979a3e4945"/>
    <x:sheet xmlns:r="http://schemas.openxmlformats.org/officeDocument/2006/relationships" name="README" sheetId="2" r:id="Rffcef961d2be4ae4"/>
    <x:sheet xmlns:r="http://schemas.openxmlformats.org/officeDocument/2006/relationships" name="Master_Cases" sheetId="3" r:id="R5865581f1f7e4ff4"/>
    <x:sheet xmlns:r="http://schemas.openxmlformats.org/officeDocument/2006/relationships" name="Agent_Run_Log" sheetId="4" r:id="R933eb55c8d494cfa"/>
    <x:sheet xmlns:r="http://schemas.openxmlformats.org/officeDocument/2006/relationships" name="Approval_Queue" sheetId="5" r:id="Rd723bf4af5614dd9"/>
    <x:sheet xmlns:r="http://schemas.openxmlformats.org/officeDocument/2006/relationships" name="Supplier_Master" sheetId="6" r:id="R9a34fa48344a4c64"/>
    <x:sheet xmlns:r="http://schemas.openxmlformats.org/officeDocument/2006/relationships" name="Quote_Master" sheetId="7" r:id="R6dcd634df91d4509"/>
    <x:sheet xmlns:r="http://schemas.openxmlformats.org/officeDocument/2006/relationships" name="Source_Health" sheetId="8" r:id="R89f6578133124b6d"/>
    <x:sheet xmlns:r="http://schemas.openxmlformats.org/officeDocument/2006/relationships" name="Followup_CRM" sheetId="9" r:id="R7e1ec9246fd5477a"/>
    <x:sheet xmlns:r="http://schemas.openxmlformats.org/officeDocument/2006/relationships" name="Receipts" sheetId="10" r:id="R0cb7b563714b4bd7"/>
    <x:sheet xmlns:r="http://schemas.openxmlformats.org/officeDocument/2006/relationships" name="Dashboard" sheetId="11" r:id="R2d9c033e068c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₹#,##0"/>
    <x:numFmt numFmtId="202" formatCode="0"/>
    <x:numFmt numFmtId="203" formatCode="yyyy-mm-dd hh:mm"/>
    <x:numFmt numFmtId="204" formatCode="0.00"/>
    <x:numFmt numFmtId="205" formatCode="₹#,##0.00"/>
    <x:numFmt numFmtId="206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15B"/>
      <x:name val="Carlito"/>
    </x:font>
    <x:font>
      <x:b/>
      <x:sz val="11"/>
      <x:color rgb="FFFFFFFF"/>
      <x:name val="Carlito"/>
    </x:font>
    <x:font>
      <x:b/>
      <x:sz val="2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1F3A5F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 applyAlignment="1">
      <x:alignment vertical="top" wrapText="1"/>
    </x:xf>
    <x:xf numFmtId="206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78e7d73c4437d" /><Relationship Type="http://schemas.openxmlformats.org/officeDocument/2006/relationships/theme" Target="/xl/theme/theme1.xml" Id="Rca9a337a0e1e45ff" /><Relationship Type="http://schemas.openxmlformats.org/officeDocument/2006/relationships/sharedStrings" Target="/xl/sharedStrings.xml" Id="R3129ceb6affa47f7" /><Relationship Type="http://schemas.openxmlformats.org/officeDocument/2006/relationships/worksheet" Target="/xl/worksheets/sheet1.xml" Id="R9e5955979a3e4945" /><Relationship Type="http://schemas.openxmlformats.org/officeDocument/2006/relationships/worksheet" Target="/xl/worksheets/sheet2.xml" Id="Rffcef961d2be4ae4" /><Relationship Type="http://schemas.openxmlformats.org/officeDocument/2006/relationships/worksheet" Target="/xl/worksheets/sheet3.xml" Id="R5865581f1f7e4ff4" /><Relationship Type="http://schemas.openxmlformats.org/officeDocument/2006/relationships/worksheet" Target="/xl/worksheets/sheet4.xml" Id="R933eb55c8d494cfa" /><Relationship Type="http://schemas.openxmlformats.org/officeDocument/2006/relationships/worksheet" Target="/xl/worksheets/sheet5.xml" Id="Rd723bf4af5614dd9" /><Relationship Type="http://schemas.openxmlformats.org/officeDocument/2006/relationships/worksheet" Target="/xl/worksheets/sheet6.xml" Id="R9a34fa48344a4c64" /><Relationship Type="http://schemas.openxmlformats.org/officeDocument/2006/relationships/worksheet" Target="/xl/worksheets/sheet7.xml" Id="R6dcd634df91d4509" /><Relationship Type="http://schemas.openxmlformats.org/officeDocument/2006/relationships/worksheet" Target="/xl/worksheets/sheet8.xml" Id="R89f6578133124b6d" /><Relationship Type="http://schemas.openxmlformats.org/officeDocument/2006/relationships/worksheet" Target="/xl/worksheets/sheet9.xml" Id="R7e1ec9246fd5477a" /><Relationship Type="http://schemas.openxmlformats.org/officeDocument/2006/relationships/worksheet" Target="/xl/worksheets/sheet10.xml" Id="R0cb7b563714b4bd7" /><Relationship Type="http://schemas.openxmlformats.org/officeDocument/2006/relationships/worksheet" Target="/xl/worksheets/sheet11.xml" Id="R2d9c033e068c496e" /></Relationships>
</file>

<file path=xl/tables/table1.xml><?xml version="1.0" encoding="utf-8"?>
<x:table xmlns:x="http://schemas.openxmlformats.org/spreadsheetml/2006/main" id="1" name="ReadmeRulesTable" displayName="ReadmeRulesTable" ref="A4:B12" headerRowCount="1">
  <x:tableColumns count="2">
    <x:tableColumn id="1" name="Topic"/>
    <x:tableColumn id="2" name="Rule"/>
  </x:tableColumns>
  <x:tableStyleInfo name="TableStyleMedium2" showRowStripes="1"/>
</x:table>
</file>

<file path=xl/tables/table2.xml><?xml version="1.0" encoding="utf-8"?>
<x:table xmlns:x="http://schemas.openxmlformats.org/spreadsheetml/2006/main" id="2" name="MasterCasesTable" displayName="MasterCasesTable" ref="A4:Y107" headerRowCount="1">
  <x:tableColumns count="25">
    <x:tableColumn id="1" name="Case_ID"/>
    <x:tableColumn id="2" name="Workflow"/>
    <x:tableColumn id="3" name="Stage"/>
    <x:tableColumn id="4" name="Status"/>
    <x:tableColumn id="5" name="Priority"/>
    <x:tableColumn id="6" name="Source_Name"/>
    <x:tableColumn id="7" name="Source_URL"/>
    <x:tableColumn id="8" name="Opportunity_Title"/>
    <x:tableColumn id="9" name="Buyer_Department"/>
    <x:tableColumn id="10" name="Country_Location"/>
    <x:tableColumn id="11" name="Category"/>
    <x:tableColumn id="12" name="Deadline"/>
    <x:tableColumn id="13" name="Value_Estimate"/>
    <x:tableColumn id="14" name="Fast_Kill_Score"/>
    <x:tableColumn id="15" name="Deep_Read_Score"/>
    <x:tableColumn id="16" name="Supplier_Status"/>
    <x:tableColumn id="17" name="Pricing_Status"/>
    <x:tableColumn id="18" name="Compliance_Status"/>
    <x:tableColumn id="19" name="Approval_Status"/>
    <x:tableColumn id="20" name="Owner_Decision"/>
    <x:tableColumn id="21" name="Next_Action"/>
    <x:tableColumn id="22" name="Assigned_Agent"/>
    <x:tableColumn id="23" name="Last_Updated"/>
    <x:tableColumn id="24" name="Receipt_Link"/>
    <x:tableColumn id="2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gentRunLogTable" displayName="AgentRunLogTable" ref="A4:P106" headerRowCount="1">
  <x:tableColumns count="16">
    <x:tableColumn id="1" name="Run_ID"/>
    <x:tableColumn id="2" name="Case_ID"/>
    <x:tableColumn id="3" name="Agent"/>
    <x:tableColumn id="4" name="Mode"/>
    <x:tableColumn id="5" name="Start_Time"/>
    <x:tableColumn id="6" name="End_Time"/>
    <x:tableColumn id="7" name="Sources_Checked"/>
    <x:tableColumn id="8" name="Docs_Read"/>
    <x:tableColumn id="9" name="Fields_Extracted"/>
    <x:tableColumn id="10" name="Confidence_Score"/>
    <x:tableColumn id="11" name="Missing_Data"/>
    <x:tableColumn id="12" name="Output_Link"/>
    <x:tableColumn id="13" name="Next_Action"/>
    <x:tableColumn id="14" name="Status"/>
    <x:tableColumn id="15" name="Receipt_Required"/>
    <x:tableColumn id="1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pprovalQueueTable" displayName="ApprovalQueueTable" ref="A4:P106" headerRowCount="1">
  <x:tableColumns count="16">
    <x:tableColumn id="1" name="Approval_ID"/>
    <x:tableColumn id="2" name="Case_ID"/>
    <x:tableColumn id="3" name="Approval_Type"/>
    <x:tableColumn id="4" name="Proposed_Action"/>
    <x:tableColumn id="5" name="Business_Object"/>
    <x:tableColumn id="6" name="Expected_Benefit"/>
    <x:tableColumn id="7" name="Concrete_Risk"/>
    <x:tableColumn id="8" name="Rollback_Recovery"/>
    <x:tableColumn id="9" name="Prepared_By"/>
    <x:tableColumn id="10" name="Approval_Status"/>
    <x:tableColumn id="11" name="Owner_Decision"/>
    <x:tableColumn id="12" name="Due_Date"/>
    <x:tableColumn id="13" name="Decision_Time"/>
    <x:tableColumn id="14" name="External_Send_Allowed"/>
    <x:tableColumn id="15" name="Receipt_Link"/>
    <x:tableColumn id="1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upplierMasterTable" displayName="SupplierMasterTable" ref="A4:T156" headerRowCount="1">
  <x:tableColumns count="20">
    <x:tableColumn id="1" name="Supplier_ID"/>
    <x:tableColumn id="2" name="Supplier_Name"/>
    <x:tableColumn id="3" name="Country"/>
    <x:tableColumn id="4" name="Source_Type"/>
    <x:tableColumn id="5" name="Source_URL"/>
    <x:tableColumn id="6" name="Product_Categories"/>
    <x:tableColumn id="7" name="Contact_Name"/>
    <x:tableColumn id="8" name="Contact"/>
    <x:tableColumn id="9" name="Registration_ID"/>
    <x:tableColumn id="10" name="Certificates"/>
    <x:tableColumn id="11" name="Verification_Score"/>
    <x:tableColumn id="12" name="Response_Speed"/>
    <x:tableColumn id="13" name="Quote_Clarity"/>
    <x:tableColumn id="14" name="Price_Competitiveness"/>
    <x:tableColumn id="15" name="Delivery_Reliability"/>
    <x:tableColumn id="16" name="Export_Tender_Experience"/>
    <x:tableColumn id="17" name="Risk_Flag"/>
    <x:tableColumn id="18" name="Preferred_Status"/>
    <x:tableColumn id="19" name="Last_Checked"/>
    <x:tableColumn id="2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QuoteMasterTable" displayName="QuoteMasterTable" ref="A4:T106" headerRowCount="1">
  <x:tableColumns count="20">
    <x:tableColumn id="1" name="Quote_ID"/>
    <x:tableColumn id="2" name="Case_ID"/>
    <x:tableColumn id="3" name="Supplier_ID"/>
    <x:tableColumn id="4" name="Product"/>
    <x:tableColumn id="5" name="Quantity"/>
    <x:tableColumn id="6" name="Unit_Base_Cost"/>
    <x:tableColumn id="7" name="Packing"/>
    <x:tableColumn id="8" name="Inland_Freight"/>
    <x:tableColumn id="9" name="Documentation"/>
    <x:tableColumn id="10" name="Duty_Tax"/>
    <x:tableColumn id="11" name="Working_Capital_Buffer"/>
    <x:tableColumn id="12" name="Risk_Buffer"/>
    <x:tableColumn id="13" name="Desired_Margin_%"/>
    <x:tableColumn id="14" name="Suggested_Bid_Quote"/>
    <x:tableColumn id="15" name="Currency"/>
    <x:tableColumn id="16" name="Incoterm"/>
    <x:tableColumn id="17" name="Valid_Until"/>
    <x:tableColumn id="18" name="Quote_Source"/>
    <x:tableColumn id="19" name="Status"/>
    <x:tableColumn id="2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ourceHealthTable" displayName="SourceHealthTable" ref="A4:O110" headerRowCount="1">
  <x:tableColumns count="15">
    <x:tableColumn id="1" name="Source_ID"/>
    <x:tableColumn id="2" name="Source_Name"/>
    <x:tableColumn id="3" name="Workflow"/>
    <x:tableColumn id="4" name="Source_Type"/>
    <x:tableColumn id="5" name="URL"/>
    <x:tableColumn id="6" name="Frequency"/>
    <x:tableColumn id="7" name="Login_Needed"/>
    <x:tableColumn id="8" name="Health_Status"/>
    <x:tableColumn id="9" name="Last_Checked"/>
    <x:tableColumn id="10" name="Last_Result_Count"/>
    <x:tableColumn id="11" name="Relevance_Score"/>
    <x:tableColumn id="12" name="Error_Type"/>
    <x:tableColumn id="13" name="Fix_Action"/>
    <x:tableColumn id="14" name="Owner"/>
    <x:tableColumn id="15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FollowupCRMTable" displayName="FollowupCRMTable" ref="A4:L106" headerRowCount="1">
  <x:tableColumns count="12">
    <x:tableColumn id="1" name="Followup_ID"/>
    <x:tableColumn id="2" name="Case_ID"/>
    <x:tableColumn id="3" name="Counterparty_Type"/>
    <x:tableColumn id="4" name="Counterparty_Name"/>
    <x:tableColumn id="5" name="Channel"/>
    <x:tableColumn id="6" name="Last_Message_Date"/>
    <x:tableColumn id="7" name="Next_Followup_Date"/>
    <x:tableColumn id="8" name="Followup_Status"/>
    <x:tableColumn id="9" name="Owner"/>
    <x:tableColumn id="10" name="Message_Template"/>
    <x:tableColumn id="11" name="Outcome"/>
    <x:tableColumn id="12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eceiptsTable" displayName="ReceiptsTable" ref="A4:M105" headerRowCount="1">
  <x:tableColumns count="13">
    <x:tableColumn id="1" name="Receipt_ID"/>
    <x:tableColumn id="2" name="Case_ID"/>
    <x:tableColumn id="3" name="Action_Type"/>
    <x:tableColumn id="4" name="Actor"/>
    <x:tableColumn id="5" name="Timestamp"/>
    <x:tableColumn id="6" name="Approval_ID"/>
    <x:tableColumn id="7" name="Input_Summary"/>
    <x:tableColumn id="8" name="Output_Summary"/>
    <x:tableColumn id="9" name="Verification_Proof"/>
    <x:tableColumn id="10" name="External_Effect"/>
    <x:tableColumn id="11" name="Status"/>
    <x:tableColumn id="12" name="Followup_Needed"/>
    <x:tableColumn id="13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ipelineSummaryTable" displayName="PipelineSummaryTable" ref="A12:D24" headerRowCount="1">
  <x:tableColumns count="4">
    <x:tableColumn id="1" name="Stage"/>
    <x:tableColumn id="2" name="GOV Count"/>
    <x:tableColumn id="3" name="EXP Count"/>
    <x:tableColumn id="4" name="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201308f26e4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9a8f31b5fa49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0115ba97e54d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d8d0d387284a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01a253720947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81906b526946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9ccaff12dd4d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4d1b87d6a84b5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596d5ef8054e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6218df3dd954d17" /></Relationships>
</file>

<file path=xl/worksheets/sheet1.xml><?xml version="1.0" encoding="utf-8"?>
<x:worksheet xmlns:x="http://schemas.openxmlformats.org/spreadsheetml/2006/main">
  <x:sheetFormatPr defaultRowHeight="15"/>
  <x:cols>
    <x:col min="1" max="1" width="63.130001068115234" hidden="0" customWidth="1"/>
    <x:col min="2" max="2" width="17.25" hidden="0" customWidth="1"/>
    <x:col min="3" max="3" width="15.130000114440918" hidden="0" customWidth="1"/>
    <x:col min="4" max="4" width="9.130000114440918" hidden="0" customWidth="1"/>
    <x:col min="5" max="5" width="16.5" hidden="0" customWidth="1"/>
    <x:col min="6" max="6" width="17.5" hidden="0" customWidth="1"/>
    <x:col min="7" max="7" width="18.1299991607666" hidden="0" customWidth="1"/>
    <x:col min="8" max="8" width="18.25" hidden="0" customWidth="1"/>
    <x:col min="9" max="9" width="16.25" hidden="0" customWidth="1"/>
    <x:col min="10" max="10" width="7.130000114440918" hidden="0" customWidth="1"/>
  </x:cols>
  <x:sheetData>
    <x:row r="1" ht="30" customHeight="1">
      <x:c r="A1" s="70" t="str">
        <x:v>CONFIG LISTS — Runtime controlled dropdowns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5" t="str">
        <x:v>Update this sheet when changing status vocabulary, agents, source health or modes.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24" t="str">
        <x:v>Workflow</x:v>
      </x:c>
      <x:c r="B3" s="24" t="str">
        <x:v>Stage</x:v>
      </x:c>
      <x:c r="C3" s="24" t="str">
        <x:v>Status</x:v>
      </x:c>
      <x:c r="D3" s="24" t="str">
        <x:v>Priority</x:v>
      </x:c>
      <x:c r="E3" s="24" t="str">
        <x:v>Agent</x:v>
      </x:c>
      <x:c r="F3" s="24" t="str">
        <x:v>Mode</x:v>
      </x:c>
      <x:c r="G3" s="24" t="str">
        <x:v>Approval Type</x:v>
      </x:c>
      <x:c r="H3" s="24" t="str">
        <x:v>Source Health</x:v>
      </x:c>
      <x:c r="I3" s="24" t="str">
        <x:v>Supplier Status</x:v>
      </x:c>
      <x:c r="J3" s="24" t="str">
        <x:v>Risk Flag</x:v>
      </x:c>
    </x:row>
    <x:row r="4">
      <x:c r="A4" s="31" t="str">
        <x:v>GOV</x:v>
      </x:c>
      <x:c r="B4" s="31" t="str">
        <x:v>NEW</x:v>
      </x:c>
      <x:c r="C4" s="31" t="str">
        <x:v>Open</x:v>
      </x:c>
      <x:c r="D4" s="31" t="str">
        <x:v>P0 Urgent</x:v>
      </x:c>
      <x:c r="E4" s="31" t="str">
        <x:v>Radar Agent</x:v>
      </x:c>
      <x:c r="F4" s="31" t="str">
        <x:v>Autopilot Research</x:v>
      </x:c>
      <x:c r="G4" s="31" t="str">
        <x:v>Supplier Outreach</x:v>
      </x:c>
      <x:c r="H4" s="31" t="str">
        <x:v>Working</x:v>
      </x:c>
      <x:c r="I4" s="31" t="str">
        <x:v>New</x:v>
      </x:c>
      <x:c r="J4" s="31" t="str">
        <x:v>None</x:v>
      </x:c>
    </x:row>
    <x:row r="5">
      <x:c r="A5" s="31" t="str">
        <x:v>EXP</x:v>
      </x:c>
      <x:c r="B5" s="31" t="str">
        <x:v>FAST_KILL</x:v>
      </x:c>
      <x:c r="C5" s="31" t="str">
        <x:v>Blocked</x:v>
      </x:c>
      <x:c r="D5" s="31" t="str">
        <x:v>P1 High</x:v>
      </x:c>
      <x:c r="E5" s="31" t="str">
        <x:v>Fast Kill Agent</x:v>
      </x:c>
      <x:c r="F5" s="31" t="str">
        <x:v>Approval-Gated Action</x:v>
      </x:c>
      <x:c r="G5" s="31" t="str">
        <x:v>Buyer Quote</x:v>
      </x:c>
      <x:c r="H5" s="31" t="str">
        <x:v>Needs Login</x:v>
      </x:c>
      <x:c r="I5" s="31" t="str">
        <x:v>Verified</x:v>
      </x:c>
      <x:c r="J5" s="31" t="str">
        <x:v>Low</x:v>
      </x:c>
    </x:row>
    <x:row r="6">
      <x:c r="B6" s="31" t="str">
        <x:v>DEEP_READ</x:v>
      </x:c>
      <x:c r="C6" s="31" t="str">
        <x:v>Rejected</x:v>
      </x:c>
      <x:c r="D6" s="31" t="str">
        <x:v>P2 Medium</x:v>
      </x:c>
      <x:c r="E6" s="31" t="str">
        <x:v>Deep Read Agent</x:v>
      </x:c>
      <x:c r="F6" s="31" t="str">
        <x:v>Execution Tracker</x:v>
      </x:c>
      <x:c r="G6" s="31" t="str">
        <x:v>Bid Submission</x:v>
      </x:c>
      <x:c r="H6" s="31" t="str">
        <x:v>Paywalled</x:v>
      </x:c>
      <x:c r="I6" s="31" t="str">
        <x:v>Preferred</x:v>
      </x:c>
      <x:c r="J6" s="31" t="str">
        <x:v>Medium</x:v>
      </x:c>
    </x:row>
    <x:row r="7">
      <x:c r="B7" s="31" t="str">
        <x:v>SUPPLIER_SEARCH</x:v>
      </x:c>
      <x:c r="C7" s="31" t="str">
        <x:v>Watchlist</x:v>
      </x:c>
      <x:c r="D7" s="31" t="str">
        <x:v>P3 Low</x:v>
      </x:c>
      <x:c r="E7" s="31" t="str">
        <x:v>Supplier Engine</x:v>
      </x:c>
      <x:c r="G7" s="31" t="str">
        <x:v>HS/ITC-HS Classification</x:v>
      </x:c>
      <x:c r="H7" s="31" t="str">
        <x:v>Low Relevance</x:v>
      </x:c>
      <x:c r="I7" s="31" t="str">
        <x:v>Watchlist</x:v>
      </x:c>
      <x:c r="J7" s="31" t="str">
        <x:v>High</x:v>
      </x:c>
    </x:row>
    <x:row r="8">
      <x:c r="B8" s="31" t="str">
        <x:v>PRICING_READY</x:v>
      </x:c>
      <x:c r="C8" s="31" t="str">
        <x:v>Ready</x:v>
      </x:c>
      <x:c r="E8" s="31" t="str">
        <x:v>Pricing Agent</x:v>
      </x:c>
      <x:c r="G8" s="31" t="str">
        <x:v>Origin/FTA Claim</x:v>
      </x:c>
      <x:c r="H8" s="31" t="str">
        <x:v>Broken</x:v>
      </x:c>
      <x:c r="I8" s="31" t="str">
        <x:v>Rejected</x:v>
      </x:c>
      <x:c r="J8" s="31" t="str">
        <x:v>Blocked</x:v>
      </x:c>
    </x:row>
    <x:row r="9">
      <x:c r="B9" s="31" t="str">
        <x:v>APPROVAL_REQUIRED</x:v>
      </x:c>
      <x:c r="C9" s="31" t="str">
        <x:v>Approved</x:v>
      </x:c>
      <x:c r="E9" s="31" t="str">
        <x:v>Compliance Agent</x:v>
      </x:c>
      <x:c r="G9" s="31" t="str">
        <x:v>Payment Terms</x:v>
      </x:c>
      <x:c r="H9" s="31" t="str">
        <x:v>Manual Check Required</x:v>
      </x:c>
      <x:c r="I9" s="31" t="str">
        <x:v>Needs Manual Check</x:v>
      </x:c>
    </x:row>
    <x:row r="10">
      <x:c r="B10" s="31" t="str">
        <x:v>SENT_OR_SUBMITTED</x:v>
      </x:c>
      <x:c r="C10" s="31" t="str">
        <x:v>Changes Requested</x:v>
      </x:c>
      <x:c r="E10" s="31" t="str">
        <x:v>Pack Builder</x:v>
      </x:c>
      <x:c r="G10" s="31" t="str">
        <x:v>Supplier Commitment</x:v>
      </x:c>
    </x:row>
    <x:row r="11">
      <x:c r="B11" s="31" t="str">
        <x:v>FOLLOW_UP</x:v>
      </x:c>
      <x:c r="C11" s="31" t="str">
        <x:v>Sent</x:v>
      </x:c>
      <x:c r="E11" s="31" t="str">
        <x:v>Approval Desk</x:v>
      </x:c>
      <x:c r="G11" s="31" t="str">
        <x:v>Document Upload</x:v>
      </x:c>
    </x:row>
    <x:row r="12">
      <x:c r="B12" s="31" t="str">
        <x:v>WON</x:v>
      </x:c>
      <x:c r="C12" s="31" t="str">
        <x:v>Submitted</x:v>
      </x:c>
      <x:c r="E12" s="31" t="str">
        <x:v>Execution Tracker</x:v>
      </x:c>
      <x:c r="G12" s="31" t="str">
        <x:v>Tender Clarification</x:v>
      </x:c>
    </x:row>
    <x:row r="13">
      <x:c r="B13" s="31" t="str">
        <x:v>LOST</x:v>
      </x:c>
      <x:c r="C13" s="31" t="str">
        <x:v>Won</x:v>
      </x:c>
      <x:c r="E13" s="31" t="str">
        <x:v>Owner Briefing Agent</x:v>
      </x:c>
    </x:row>
    <x:row r="14">
      <x:c r="B14" s="31" t="str">
        <x:v>ARCHIVED</x:v>
      </x:c>
      <x:c r="C14" s="31" t="str">
        <x:v>Lost</x:v>
      </x:c>
    </x:row>
    <x:row r="15">
      <x:c r="B15" s="31" t="str">
        <x:v>WATCHLIST</x:v>
      </x:c>
      <x:c r="C15" s="31" t="str">
        <x:v>Archived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70" t="str">
        <x:v>TENDER + EXPORT OS v3.1 — Runtime Control Center</x:v>
      </x:c>
      <x:c r="B1" s="70"/>
      <x:c r="C1" s="70"/>
      <x:c r="D1" s="70"/>
      <x:c r="E1" s="70"/>
      <x:c r="F1" s="70"/>
      <x:c r="G1" s="70"/>
      <x:c r="H1" s="70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5" t="str">
        <x:v>One workbook for Codex/Hermes execution: cases, agents, approvals, suppliers, quotes, source health, receipts.</x:v>
      </x:c>
      <x:c r="B2" s="15"/>
      <x:c r="C2" s="15"/>
      <x:c r="D2" s="15"/>
      <x:c r="E2" s="15"/>
      <x:c r="F2" s="15"/>
      <x:c r="G2" s="15"/>
      <x:c r="H2" s="15"/>
    </x:row>
    <x:row r="4">
      <x:c r="A4" s="34" t="str">
        <x:v>Topic</x:v>
      </x:c>
      <x:c r="B4" s="34" t="str">
        <x:v>Rule</x:v>
      </x:c>
    </x:row>
    <x:row r="5">
      <x:c r="A5" s="31" t="str">
        <x:v>Principle</x:v>
      </x:c>
      <x:c r="B5" s="31" t="str">
        <x:v>Agents run research and preparation automatically. Humans approve external/money/legal actions.</x:v>
      </x:c>
    </x:row>
    <x:row r="6">
      <x:c r="A6" s="31" t="str">
        <x:v>Primary flow</x:v>
      </x:c>
      <x:c r="B6" s="31" t="str">
        <x:v>Find → Fast Kill → Deep Read → Supplier Proof → Pricing Proof → Approval → Execution → Receipt</x:v>
      </x:c>
    </x:row>
    <x:row r="7">
      <x:c r="A7" s="31" t="str">
        <x:v>Case IDs</x:v>
      </x:c>
      <x:c r="B7" s="31" t="str">
        <x:v>GOV-YYYYMMDD-001 for government tender cases; EXP-YYYYMMDD-001 for export/RFQ cases.</x:v>
      </x:c>
    </x:row>
    <x:row r="8">
      <x:c r="A8" s="31" t="str">
        <x:v>Owner action</x:v>
      </x:c>
      <x:c r="B8" s="31" t="str">
        <x:v>Use Approval_Queue for approve/reject/ask changes. Hermes brief should only show cases needing action.</x:v>
      </x:c>
    </x:row>
    <x:row r="9">
      <x:c r="A9" s="31" t="str">
        <x:v>Data discipline</x:v>
      </x:c>
      <x:c r="B9" s="31" t="str">
        <x:v>Every supplier, quote, source check, approval and action receipt must link back to Case_ID.</x:v>
      </x:c>
    </x:row>
    <x:row r="10">
      <x:c r="A10" s="31" t="str">
        <x:v>Fast kill rule</x:v>
      </x:c>
      <x:c r="B10" s="31" t="str">
        <x:v>Kill quickly when deadline, eligibility, EMD, fake buyer, restricted category or supplier availability fails.</x:v>
      </x:c>
    </x:row>
    <x:row r="11">
      <x:c r="A11" s="31" t="str">
        <x:v>5-3-2 supplier rule</x:v>
      </x:c>
      <x:c r="B11" s="31" t="str">
        <x:v>Aim for 5 candidate suppliers from 3 source types and at least 2 quote proofs before pricing.</x:v>
      </x:c>
    </x:row>
    <x:row r="12">
      <x:c r="A12" s="31" t="str">
        <x:v>Do not automate</x:v>
      </x:c>
      <x:c r="B12" s="31" t="str">
        <x:v>No DSC use, bid submission, final HSN/origin claim, final buyer quote or payment commitment without approval.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a201308f26e4d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.75" hidden="0" customWidth="1"/>
    <x:col min="2" max="2" width="10.5" hidden="0" customWidth="1"/>
    <x:col min="3" max="3" width="16.3799991607666" hidden="0" customWidth="1"/>
    <x:col min="4" max="4" width="9" hidden="0" customWidth="1"/>
    <x:col min="5" max="5" width="8.75" hidden="0" customWidth="1"/>
    <x:col min="6" max="6" width="14.63000011444091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9.880000114440918" hidden="0" customWidth="1"/>
    <x:col min="13" max="13" width="14.75" hidden="0" customWidth="1"/>
    <x:col min="14" max="14" width="14.5" hidden="0" customWidth="1"/>
    <x:col min="15" max="15" width="16.8799991607666" hidden="0" customWidth="1"/>
    <x:col min="16" max="16" width="15" hidden="0" customWidth="1"/>
    <x:col min="17" max="17" width="13.880000114440918" hidden="0" customWidth="1"/>
    <x:col min="18" max="18" width="17.6299991607666" hidden="0" customWidth="1"/>
    <x:col min="19" max="19" width="15.630000114440918" hidden="0" customWidth="1"/>
    <x:col min="20" max="20" width="15.630000114440918" hidden="0" customWidth="1"/>
    <x:col min="21" max="21" width="28" hidden="0" customWidth="1"/>
    <x:col min="22" max="22" width="15.25" hidden="0" customWidth="1"/>
    <x:col min="23" max="23" width="13.630000114440918" hidden="0" customWidth="1"/>
    <x:col min="24" max="24" width="12.75" hidden="0" customWidth="1"/>
    <x:col min="25" max="25" width="28" hidden="0" customWidth="1"/>
  </x:cols>
  <x:sheetData>
    <x:row r="1" ht="30" customHeight="1">
      <x:c r="A1" s="70" t="str">
        <x:v>MASTER CASE REGISTER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  <x:c r="W1" s="70"/>
      <x:c r="X1" s="70"/>
      <x:c r="Y1" s="70"/>
      <x:c r="Z1" s="31"/>
    </x:row>
    <x:row r="2" ht="34" customHeight="1">
      <x:c r="A2" s="15" t="str">
        <x:v>The single source of truth for all government tender and export/RFQ cases.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</x:row>
    <x:row r="4">
      <x:c r="A4" s="34" t="str">
        <x:v>Case_ID</x:v>
      </x:c>
      <x:c r="B4" s="34" t="str">
        <x:v>Workflow</x:v>
      </x:c>
      <x:c r="C4" s="34" t="str">
        <x:v>Stage</x:v>
      </x:c>
      <x:c r="D4" s="34" t="str">
        <x:v>Status</x:v>
      </x:c>
      <x:c r="E4" s="34" t="str">
        <x:v>Priority</x:v>
      </x:c>
      <x:c r="F4" s="34" t="str">
        <x:v>Source_Name</x:v>
      </x:c>
      <x:c r="G4" s="34" t="str">
        <x:v>Source_URL</x:v>
      </x:c>
      <x:c r="H4" s="34" t="str">
        <x:v>Opportunity_Title</x:v>
      </x:c>
      <x:c r="I4" s="34" t="str">
        <x:v>Buyer_Department</x:v>
      </x:c>
      <x:c r="J4" s="34" t="str">
        <x:v>Country_Location</x:v>
      </x:c>
      <x:c r="K4" s="34" t="str">
        <x:v>Category</x:v>
      </x:c>
      <x:c r="L4" s="34" t="str">
        <x:v>Deadline</x:v>
      </x:c>
      <x:c r="M4" s="34" t="str">
        <x:v>Value_Estimate</x:v>
      </x:c>
      <x:c r="N4" s="34" t="str">
        <x:v>Fast_Kill_Score</x:v>
      </x:c>
      <x:c r="O4" s="34" t="str">
        <x:v>Deep_Read_Score</x:v>
      </x:c>
      <x:c r="P4" s="34" t="str">
        <x:v>Supplier_Status</x:v>
      </x:c>
      <x:c r="Q4" s="34" t="str">
        <x:v>Pricing_Status</x:v>
      </x:c>
      <x:c r="R4" s="34" t="str">
        <x:v>Compliance_Status</x:v>
      </x:c>
      <x:c r="S4" s="34" t="str">
        <x:v>Approval_Status</x:v>
      </x:c>
      <x:c r="T4" s="34" t="str">
        <x:v>Owner_Decision</x:v>
      </x:c>
      <x:c r="U4" s="34" t="str">
        <x:v>Next_Action</x:v>
      </x:c>
      <x:c r="V4" s="34" t="str">
        <x:v>Assigned_Agent</x:v>
      </x:c>
      <x:c r="W4" s="34" t="str">
        <x:v>Last_Updated</x:v>
      </x:c>
      <x:c r="X4" s="34" t="str">
        <x:v>Receipt_Link</x:v>
      </x:c>
      <x:c r="Y4" s="34" t="str">
        <x:v>Notes</x:v>
      </x:c>
    </x:row>
    <x:row r="5">
      <x:c r="A5" s="31" t="str">
        <x:v>GOV-20260630-001</x:v>
      </x:c>
      <x:c r="B5" s="31" t="str">
        <x:v>GOV</x:v>
      </x:c>
      <x:c r="C5" s="31" t="str">
        <x:v>FAST_KILL</x:v>
      </x:c>
      <x:c r="D5" s="31" t="str">
        <x:v>Open</x:v>
      </x:c>
      <x:c r="E5" s="31" t="str">
        <x:v>P1 High</x:v>
      </x:c>
      <x:c r="F5" s="31" t="str">
        <x:v>GeM</x:v>
      </x:c>
      <x:c r="G5" s="31" t="str">
        <x:v>https://gem.gov.in/</x:v>
      </x:c>
      <x:c r="H5" s="31" t="str">
        <x:v>Housekeeping consumables supply</x:v>
      </x:c>
      <x:c r="I5" s="31" t="str">
        <x:v>District office</x:v>
      </x:c>
      <x:c r="J5" s="31" t="str">
        <x:v>Delhi NCR</x:v>
      </x:c>
      <x:c r="K5" s="31" t="str">
        <x:v>Housekeeping</x:v>
      </x:c>
      <x:c r="L5" s="36" t="n">
        <x:v>46211</x:v>
      </x:c>
      <x:c r="M5" s="38" t="n">
        <x:v>150000</x:v>
      </x:c>
      <x:c r="N5" s="40" t="n">
        <x:v>78</x:v>
      </x:c>
      <x:c r="O5" s="40" t="str"/>
      <x:c r="P5" s="31" t="str">
        <x:v>Not Started</x:v>
      </x:c>
      <x:c r="Q5" s="31" t="str">
        <x:v>Not Started</x:v>
      </x:c>
      <x:c r="R5" s="31" t="str">
        <x:v>Not Started</x:v>
      </x:c>
      <x:c r="S5" s="31" t="str">
        <x:v>Not Required</x:v>
      </x:c>
      <x:c r="T5" s="31" t="str"/>
      <x:c r="U5" s="31" t="str">
        <x:v>Run deep read and supplier search</x:v>
      </x:c>
      <x:c r="V5" s="31" t="str">
        <x:v>Fast Kill Agent</x:v>
      </x:c>
      <x:c r="W5" s="36" t="n">
        <x:v>46202</x:v>
      </x:c>
      <x:c r="X5" s="31" t="str"/>
      <x:c r="Y5" s="31" t="str">
        <x:v>Sample case</x:v>
      </x:c>
    </x:row>
    <x:row r="6">
      <x:c r="A6" s="31" t="str">
        <x:v>EXP-20260630-001</x:v>
      </x:c>
      <x:c r="B6" s="31" t="str">
        <x:v>EXP</x:v>
      </x:c>
      <x:c r="C6" s="31" t="str">
        <x:v>SUPPLIER_SEARCH</x:v>
      </x:c>
      <x:c r="D6" s="31" t="str">
        <x:v>Open</x:v>
      </x:c>
      <x:c r="E6" s="31" t="str">
        <x:v>P1 High</x:v>
      </x:c>
      <x:c r="F6" s="31" t="str">
        <x:v>Indian Trade Portal</x:v>
      </x:c>
      <x:c r="G6" s="31" t="str">
        <x:v>https://indiantradeportal.in/</x:v>
      </x:c>
      <x:c r="H6" s="31" t="str">
        <x:v>Cotton tote bags RFQ</x:v>
      </x:c>
      <x:c r="I6" s="31" t="str">
        <x:v>Private buyer</x:v>
      </x:c>
      <x:c r="J6" s="31" t="str">
        <x:v>UAE</x:v>
      </x:c>
      <x:c r="K6" s="31" t="str">
        <x:v>Textiles / Bags</x:v>
      </x:c>
      <x:c r="L6" s="36" t="n">
        <x:v>46214</x:v>
      </x:c>
      <x:c r="M6" s="38" t="n">
        <x:v>300000</x:v>
      </x:c>
      <x:c r="N6" s="40" t="n">
        <x:v>82</x:v>
      </x:c>
      <x:c r="O6" s="40" t="n">
        <x:v>74</x:v>
      </x:c>
      <x:c r="P6" s="31" t="str">
        <x:v>In Progress</x:v>
      </x:c>
      <x:c r="Q6" s="31" t="str">
        <x:v>Not Started</x:v>
      </x:c>
      <x:c r="R6" s="31" t="str">
        <x:v>HS draft needed</x:v>
      </x:c>
      <x:c r="S6" s="31" t="str">
        <x:v>Not Required</x:v>
      </x:c>
      <x:c r="T6" s="31" t="str"/>
      <x:c r="U6" s="31" t="str">
        <x:v>Find 5 suppliers and prepare export pricing</x:v>
      </x:c>
      <x:c r="V6" s="31" t="str">
        <x:v>Supplier Engine</x:v>
      </x:c>
      <x:c r="W6" s="36" t="n">
        <x:v>46202</x:v>
      </x:c>
      <x:c r="X6" s="31" t="str"/>
      <x:c r="Y6" s="31" t="str">
        <x:v>Sample export case</x:v>
      </x:c>
    </x:row>
    <x:row r="7">
      <x:c r="A7" s="31" t="str">
        <x:v>GOV-20260630-002</x:v>
      </x:c>
      <x:c r="B7" s="31" t="str">
        <x:v>GOV</x:v>
      </x:c>
      <x:c r="C7" s="31" t="str">
        <x:v>ARCHIVED</x:v>
      </x:c>
      <x:c r="D7" s="31" t="str">
        <x:v>Rejected</x:v>
      </x:c>
      <x:c r="E7" s="31" t="str">
        <x:v>P3 Low</x:v>
      </x:c>
      <x:c r="F7" s="31" t="str">
        <x:v>CPPP/eProcure</x:v>
      </x:c>
      <x:c r="G7" s="31" t="str">
        <x:v>https://eprocure.gov.in/eprocure/app</x:v>
      </x:c>
      <x:c r="H7" s="31" t="str">
        <x:v>OEM printer cartridge tender</x:v>
      </x:c>
      <x:c r="I7" s="31" t="str">
        <x:v>University</x:v>
      </x:c>
      <x:c r="J7" s="31" t="str">
        <x:v>Rajasthan</x:v>
      </x:c>
      <x:c r="K7" s="31" t="str">
        <x:v>Printer consumables</x:v>
      </x:c>
      <x:c r="L7" s="36" t="n">
        <x:v>46205</x:v>
      </x:c>
      <x:c r="M7" s="38" t="n">
        <x:v>750000</x:v>
      </x:c>
      <x:c r="N7" s="40" t="n">
        <x:v>42</x:v>
      </x:c>
      <x:c r="O7" s="40" t="str"/>
      <x:c r="P7" s="31" t="str">
        <x:v>Blocked</x:v>
      </x:c>
      <x:c r="Q7" s="31" t="str">
        <x:v>Blocked</x:v>
      </x:c>
      <x:c r="R7" s="31" t="str">
        <x:v>Not Started</x:v>
      </x:c>
      <x:c r="S7" s="31" t="str">
        <x:v>Not Required</x:v>
      </x:c>
      <x:c r="T7" s="31" t="str">
        <x:v>Reject</x:v>
      </x:c>
      <x:c r="U7" s="31" t="str">
        <x:v>Rejected due to OEM authorization + short deadline</x:v>
      </x:c>
      <x:c r="V7" s="31" t="str">
        <x:v>Fast Kill Agent</x:v>
      </x:c>
      <x:c r="W7" s="36" t="n">
        <x:v>46202</x:v>
      </x:c>
      <x:c r="X7" s="31" t="str"/>
      <x:c r="Y7" s="31" t="str">
        <x:v>Sample rejected case</x:v>
      </x:c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6"/>
      <x:c r="M8" s="38"/>
      <x:c r="N8" s="40"/>
      <x:c r="O8" s="40"/>
      <x:c r="P8" s="31"/>
      <x:c r="Q8" s="31"/>
      <x:c r="R8" s="31"/>
      <x:c r="S8" s="31"/>
      <x:c r="T8" s="31"/>
      <x:c r="U8" s="31"/>
      <x:c r="V8" s="31"/>
      <x:c r="W8" s="36"/>
      <x:c r="X8" s="31"/>
      <x:c r="Y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6"/>
      <x:c r="M9" s="38"/>
      <x:c r="N9" s="40"/>
      <x:c r="O9" s="40"/>
      <x:c r="P9" s="31"/>
      <x:c r="Q9" s="31"/>
      <x:c r="R9" s="31"/>
      <x:c r="S9" s="31"/>
      <x:c r="T9" s="31"/>
      <x:c r="U9" s="31"/>
      <x:c r="V9" s="31"/>
      <x:c r="W9" s="36"/>
      <x:c r="X9" s="31"/>
      <x:c r="Y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6"/>
      <x:c r="M10" s="38"/>
      <x:c r="N10" s="40"/>
      <x:c r="O10" s="40"/>
      <x:c r="P10" s="31"/>
      <x:c r="Q10" s="31"/>
      <x:c r="R10" s="31"/>
      <x:c r="S10" s="31"/>
      <x:c r="T10" s="31"/>
      <x:c r="U10" s="31"/>
      <x:c r="V10" s="31"/>
      <x:c r="W10" s="36"/>
      <x:c r="X10" s="31"/>
      <x:c r="Y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6"/>
      <x:c r="M11" s="38"/>
      <x:c r="N11" s="40"/>
      <x:c r="O11" s="40"/>
      <x:c r="P11" s="31"/>
      <x:c r="Q11" s="31"/>
      <x:c r="R11" s="31"/>
      <x:c r="S11" s="31"/>
      <x:c r="T11" s="31"/>
      <x:c r="U11" s="31"/>
      <x:c r="V11" s="31"/>
      <x:c r="W11" s="36"/>
      <x:c r="X11" s="31"/>
      <x:c r="Y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6"/>
      <x:c r="M12" s="38"/>
      <x:c r="N12" s="40"/>
      <x:c r="O12" s="40"/>
      <x:c r="P12" s="31"/>
      <x:c r="Q12" s="31"/>
      <x:c r="R12" s="31"/>
      <x:c r="S12" s="31"/>
      <x:c r="T12" s="31"/>
      <x:c r="U12" s="31"/>
      <x:c r="V12" s="31"/>
      <x:c r="W12" s="36"/>
      <x:c r="X12" s="31"/>
      <x:c r="Y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6"/>
      <x:c r="M13" s="38"/>
      <x:c r="N13" s="40"/>
      <x:c r="O13" s="40"/>
      <x:c r="P13" s="31"/>
      <x:c r="Q13" s="31"/>
      <x:c r="R13" s="31"/>
      <x:c r="S13" s="31"/>
      <x:c r="T13" s="31"/>
      <x:c r="U13" s="31"/>
      <x:c r="V13" s="31"/>
      <x:c r="W13" s="36"/>
      <x:c r="X13" s="31"/>
      <x:c r="Y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6"/>
      <x:c r="M14" s="38"/>
      <x:c r="N14" s="40"/>
      <x:c r="O14" s="40"/>
      <x:c r="P14" s="31"/>
      <x:c r="Q14" s="31"/>
      <x:c r="R14" s="31"/>
      <x:c r="S14" s="31"/>
      <x:c r="T14" s="31"/>
      <x:c r="U14" s="31"/>
      <x:c r="V14" s="31"/>
      <x:c r="W14" s="36"/>
      <x:c r="X14" s="31"/>
      <x:c r="Y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6"/>
      <x:c r="M15" s="38"/>
      <x:c r="N15" s="40"/>
      <x:c r="O15" s="40"/>
      <x:c r="P15" s="31"/>
      <x:c r="Q15" s="31"/>
      <x:c r="R15" s="31"/>
      <x:c r="S15" s="31"/>
      <x:c r="T15" s="31"/>
      <x:c r="U15" s="31"/>
      <x:c r="V15" s="31"/>
      <x:c r="W15" s="36"/>
      <x:c r="X15" s="31"/>
      <x:c r="Y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6"/>
      <x:c r="M16" s="38"/>
      <x:c r="N16" s="40"/>
      <x:c r="O16" s="40"/>
      <x:c r="P16" s="31"/>
      <x:c r="Q16" s="31"/>
      <x:c r="R16" s="31"/>
      <x:c r="S16" s="31"/>
      <x:c r="T16" s="31"/>
      <x:c r="U16" s="31"/>
      <x:c r="V16" s="31"/>
      <x:c r="W16" s="36"/>
      <x:c r="X16" s="31"/>
      <x:c r="Y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6"/>
      <x:c r="M17" s="38"/>
      <x:c r="N17" s="40"/>
      <x:c r="O17" s="40"/>
      <x:c r="P17" s="31"/>
      <x:c r="Q17" s="31"/>
      <x:c r="R17" s="31"/>
      <x:c r="S17" s="31"/>
      <x:c r="T17" s="31"/>
      <x:c r="U17" s="31"/>
      <x:c r="V17" s="31"/>
      <x:c r="W17" s="36"/>
      <x:c r="X17" s="31"/>
      <x:c r="Y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6"/>
      <x:c r="M18" s="38"/>
      <x:c r="N18" s="40"/>
      <x:c r="O18" s="40"/>
      <x:c r="P18" s="31"/>
      <x:c r="Q18" s="31"/>
      <x:c r="R18" s="31"/>
      <x:c r="S18" s="31"/>
      <x:c r="T18" s="31"/>
      <x:c r="U18" s="31"/>
      <x:c r="V18" s="31"/>
      <x:c r="W18" s="36"/>
      <x:c r="X18" s="31"/>
      <x:c r="Y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6"/>
      <x:c r="M19" s="38"/>
      <x:c r="N19" s="40"/>
      <x:c r="O19" s="40"/>
      <x:c r="P19" s="31"/>
      <x:c r="Q19" s="31"/>
      <x:c r="R19" s="31"/>
      <x:c r="S19" s="31"/>
      <x:c r="T19" s="31"/>
      <x:c r="U19" s="31"/>
      <x:c r="V19" s="31"/>
      <x:c r="W19" s="36"/>
      <x:c r="X19" s="31"/>
      <x:c r="Y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6"/>
      <x:c r="M20" s="38"/>
      <x:c r="N20" s="40"/>
      <x:c r="O20" s="40"/>
      <x:c r="P20" s="31"/>
      <x:c r="Q20" s="31"/>
      <x:c r="R20" s="31"/>
      <x:c r="S20" s="31"/>
      <x:c r="T20" s="31"/>
      <x:c r="U20" s="31"/>
      <x:c r="V20" s="31"/>
      <x:c r="W20" s="36"/>
      <x:c r="X20" s="31"/>
      <x:c r="Y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6"/>
      <x:c r="M21" s="38"/>
      <x:c r="N21" s="40"/>
      <x:c r="O21" s="40"/>
      <x:c r="P21" s="31"/>
      <x:c r="Q21" s="31"/>
      <x:c r="R21" s="31"/>
      <x:c r="S21" s="31"/>
      <x:c r="T21" s="31"/>
      <x:c r="U21" s="31"/>
      <x:c r="V21" s="31"/>
      <x:c r="W21" s="36"/>
      <x:c r="X21" s="31"/>
      <x:c r="Y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6"/>
      <x:c r="M22" s="38"/>
      <x:c r="N22" s="40"/>
      <x:c r="O22" s="40"/>
      <x:c r="P22" s="31"/>
      <x:c r="Q22" s="31"/>
      <x:c r="R22" s="31"/>
      <x:c r="S22" s="31"/>
      <x:c r="T22" s="31"/>
      <x:c r="U22" s="31"/>
      <x:c r="V22" s="31"/>
      <x:c r="W22" s="36"/>
      <x:c r="X22" s="31"/>
      <x:c r="Y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6"/>
      <x:c r="M23" s="38"/>
      <x:c r="N23" s="40"/>
      <x:c r="O23" s="40"/>
      <x:c r="P23" s="31"/>
      <x:c r="Q23" s="31"/>
      <x:c r="R23" s="31"/>
      <x:c r="S23" s="31"/>
      <x:c r="T23" s="31"/>
      <x:c r="U23" s="31"/>
      <x:c r="V23" s="31"/>
      <x:c r="W23" s="36"/>
      <x:c r="X23" s="31"/>
      <x:c r="Y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6"/>
      <x:c r="M24" s="38"/>
      <x:c r="N24" s="40"/>
      <x:c r="O24" s="40"/>
      <x:c r="P24" s="31"/>
      <x:c r="Q24" s="31"/>
      <x:c r="R24" s="31"/>
      <x:c r="S24" s="31"/>
      <x:c r="T24" s="31"/>
      <x:c r="U24" s="31"/>
      <x:c r="V24" s="31"/>
      <x:c r="W24" s="36"/>
      <x:c r="X24" s="31"/>
      <x:c r="Y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6"/>
      <x:c r="M25" s="38"/>
      <x:c r="N25" s="40"/>
      <x:c r="O25" s="40"/>
      <x:c r="P25" s="31"/>
      <x:c r="Q25" s="31"/>
      <x:c r="R25" s="31"/>
      <x:c r="S25" s="31"/>
      <x:c r="T25" s="31"/>
      <x:c r="U25" s="31"/>
      <x:c r="V25" s="31"/>
      <x:c r="W25" s="36"/>
      <x:c r="X25" s="31"/>
      <x:c r="Y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6"/>
      <x:c r="M26" s="38"/>
      <x:c r="N26" s="40"/>
      <x:c r="O26" s="40"/>
      <x:c r="P26" s="31"/>
      <x:c r="Q26" s="31"/>
      <x:c r="R26" s="31"/>
      <x:c r="S26" s="31"/>
      <x:c r="T26" s="31"/>
      <x:c r="U26" s="31"/>
      <x:c r="V26" s="31"/>
      <x:c r="W26" s="36"/>
      <x:c r="X26" s="31"/>
      <x:c r="Y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6"/>
      <x:c r="M27" s="38"/>
      <x:c r="N27" s="40"/>
      <x:c r="O27" s="40"/>
      <x:c r="P27" s="31"/>
      <x:c r="Q27" s="31"/>
      <x:c r="R27" s="31"/>
      <x:c r="S27" s="31"/>
      <x:c r="T27" s="31"/>
      <x:c r="U27" s="31"/>
      <x:c r="V27" s="31"/>
      <x:c r="W27" s="36"/>
      <x:c r="X27" s="31"/>
      <x:c r="Y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6"/>
      <x:c r="M28" s="38"/>
      <x:c r="N28" s="40"/>
      <x:c r="O28" s="40"/>
      <x:c r="P28" s="31"/>
      <x:c r="Q28" s="31"/>
      <x:c r="R28" s="31"/>
      <x:c r="S28" s="31"/>
      <x:c r="T28" s="31"/>
      <x:c r="U28" s="31"/>
      <x:c r="V28" s="31"/>
      <x:c r="W28" s="36"/>
      <x:c r="X28" s="31"/>
      <x:c r="Y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6"/>
      <x:c r="M29" s="38"/>
      <x:c r="N29" s="40"/>
      <x:c r="O29" s="40"/>
      <x:c r="P29" s="31"/>
      <x:c r="Q29" s="31"/>
      <x:c r="R29" s="31"/>
      <x:c r="S29" s="31"/>
      <x:c r="T29" s="31"/>
      <x:c r="U29" s="31"/>
      <x:c r="V29" s="31"/>
      <x:c r="W29" s="36"/>
      <x:c r="X29" s="31"/>
      <x:c r="Y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6"/>
      <x:c r="M30" s="38"/>
      <x:c r="N30" s="40"/>
      <x:c r="O30" s="40"/>
      <x:c r="P30" s="31"/>
      <x:c r="Q30" s="31"/>
      <x:c r="R30" s="31"/>
      <x:c r="S30" s="31"/>
      <x:c r="T30" s="31"/>
      <x:c r="U30" s="31"/>
      <x:c r="V30" s="31"/>
      <x:c r="W30" s="36"/>
      <x:c r="X30" s="31"/>
      <x:c r="Y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6"/>
      <x:c r="M31" s="38"/>
      <x:c r="N31" s="40"/>
      <x:c r="O31" s="40"/>
      <x:c r="P31" s="31"/>
      <x:c r="Q31" s="31"/>
      <x:c r="R31" s="31"/>
      <x:c r="S31" s="31"/>
      <x:c r="T31" s="31"/>
      <x:c r="U31" s="31"/>
      <x:c r="V31" s="31"/>
      <x:c r="W31" s="36"/>
      <x:c r="X31" s="31"/>
      <x:c r="Y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6"/>
      <x:c r="M32" s="38"/>
      <x:c r="N32" s="40"/>
      <x:c r="O32" s="40"/>
      <x:c r="P32" s="31"/>
      <x:c r="Q32" s="31"/>
      <x:c r="R32" s="31"/>
      <x:c r="S32" s="31"/>
      <x:c r="T32" s="31"/>
      <x:c r="U32" s="31"/>
      <x:c r="V32" s="31"/>
      <x:c r="W32" s="36"/>
      <x:c r="X32" s="31"/>
      <x:c r="Y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6"/>
      <x:c r="M33" s="38"/>
      <x:c r="N33" s="40"/>
      <x:c r="O33" s="40"/>
      <x:c r="P33" s="31"/>
      <x:c r="Q33" s="31"/>
      <x:c r="R33" s="31"/>
      <x:c r="S33" s="31"/>
      <x:c r="T33" s="31"/>
      <x:c r="U33" s="31"/>
      <x:c r="V33" s="31"/>
      <x:c r="W33" s="36"/>
      <x:c r="X33" s="31"/>
      <x:c r="Y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6"/>
      <x:c r="M34" s="38"/>
      <x:c r="N34" s="40"/>
      <x:c r="O34" s="40"/>
      <x:c r="P34" s="31"/>
      <x:c r="Q34" s="31"/>
      <x:c r="R34" s="31"/>
      <x:c r="S34" s="31"/>
      <x:c r="T34" s="31"/>
      <x:c r="U34" s="31"/>
      <x:c r="V34" s="31"/>
      <x:c r="W34" s="36"/>
      <x:c r="X34" s="31"/>
      <x:c r="Y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6"/>
      <x:c r="M35" s="38"/>
      <x:c r="N35" s="40"/>
      <x:c r="O35" s="40"/>
      <x:c r="P35" s="31"/>
      <x:c r="Q35" s="31"/>
      <x:c r="R35" s="31"/>
      <x:c r="S35" s="31"/>
      <x:c r="T35" s="31"/>
      <x:c r="U35" s="31"/>
      <x:c r="V35" s="31"/>
      <x:c r="W35" s="36"/>
      <x:c r="X35" s="31"/>
      <x:c r="Y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6"/>
      <x:c r="M36" s="38"/>
      <x:c r="N36" s="40"/>
      <x:c r="O36" s="40"/>
      <x:c r="P36" s="31"/>
      <x:c r="Q36" s="31"/>
      <x:c r="R36" s="31"/>
      <x:c r="S36" s="31"/>
      <x:c r="T36" s="31"/>
      <x:c r="U36" s="31"/>
      <x:c r="V36" s="31"/>
      <x:c r="W36" s="36"/>
      <x:c r="X36" s="31"/>
      <x:c r="Y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6"/>
      <x:c r="M37" s="38"/>
      <x:c r="N37" s="40"/>
      <x:c r="O37" s="40"/>
      <x:c r="P37" s="31"/>
      <x:c r="Q37" s="31"/>
      <x:c r="R37" s="31"/>
      <x:c r="S37" s="31"/>
      <x:c r="T37" s="31"/>
      <x:c r="U37" s="31"/>
      <x:c r="V37" s="31"/>
      <x:c r="W37" s="36"/>
      <x:c r="X37" s="31"/>
      <x:c r="Y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6"/>
      <x:c r="M38" s="38"/>
      <x:c r="N38" s="40"/>
      <x:c r="O38" s="40"/>
      <x:c r="P38" s="31"/>
      <x:c r="Q38" s="31"/>
      <x:c r="R38" s="31"/>
      <x:c r="S38" s="31"/>
      <x:c r="T38" s="31"/>
      <x:c r="U38" s="31"/>
      <x:c r="V38" s="31"/>
      <x:c r="W38" s="36"/>
      <x:c r="X38" s="31"/>
      <x:c r="Y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6"/>
      <x:c r="M39" s="38"/>
      <x:c r="N39" s="40"/>
      <x:c r="O39" s="40"/>
      <x:c r="P39" s="31"/>
      <x:c r="Q39" s="31"/>
      <x:c r="R39" s="31"/>
      <x:c r="S39" s="31"/>
      <x:c r="T39" s="31"/>
      <x:c r="U39" s="31"/>
      <x:c r="V39" s="31"/>
      <x:c r="W39" s="36"/>
      <x:c r="X39" s="31"/>
      <x:c r="Y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6"/>
      <x:c r="M40" s="38"/>
      <x:c r="N40" s="40"/>
      <x:c r="O40" s="40"/>
      <x:c r="P40" s="31"/>
      <x:c r="Q40" s="31"/>
      <x:c r="R40" s="31"/>
      <x:c r="S40" s="31"/>
      <x:c r="T40" s="31"/>
      <x:c r="U40" s="31"/>
      <x:c r="V40" s="31"/>
      <x:c r="W40" s="36"/>
      <x:c r="X40" s="31"/>
      <x:c r="Y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6"/>
      <x:c r="M41" s="38"/>
      <x:c r="N41" s="40"/>
      <x:c r="O41" s="40"/>
      <x:c r="P41" s="31"/>
      <x:c r="Q41" s="31"/>
      <x:c r="R41" s="31"/>
      <x:c r="S41" s="31"/>
      <x:c r="T41" s="31"/>
      <x:c r="U41" s="31"/>
      <x:c r="V41" s="31"/>
      <x:c r="W41" s="36"/>
      <x:c r="X41" s="31"/>
      <x:c r="Y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6"/>
      <x:c r="M42" s="38"/>
      <x:c r="N42" s="40"/>
      <x:c r="O42" s="40"/>
      <x:c r="P42" s="31"/>
      <x:c r="Q42" s="31"/>
      <x:c r="R42" s="31"/>
      <x:c r="S42" s="31"/>
      <x:c r="T42" s="31"/>
      <x:c r="U42" s="31"/>
      <x:c r="V42" s="31"/>
      <x:c r="W42" s="36"/>
      <x:c r="X42" s="31"/>
      <x:c r="Y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6"/>
      <x:c r="M43" s="38"/>
      <x:c r="N43" s="40"/>
      <x:c r="O43" s="40"/>
      <x:c r="P43" s="31"/>
      <x:c r="Q43" s="31"/>
      <x:c r="R43" s="31"/>
      <x:c r="S43" s="31"/>
      <x:c r="T43" s="31"/>
      <x:c r="U43" s="31"/>
      <x:c r="V43" s="31"/>
      <x:c r="W43" s="36"/>
      <x:c r="X43" s="31"/>
      <x:c r="Y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6"/>
      <x:c r="M44" s="38"/>
      <x:c r="N44" s="40"/>
      <x:c r="O44" s="40"/>
      <x:c r="P44" s="31"/>
      <x:c r="Q44" s="31"/>
      <x:c r="R44" s="31"/>
      <x:c r="S44" s="31"/>
      <x:c r="T44" s="31"/>
      <x:c r="U44" s="31"/>
      <x:c r="V44" s="31"/>
      <x:c r="W44" s="36"/>
      <x:c r="X44" s="31"/>
      <x:c r="Y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6"/>
      <x:c r="M45" s="38"/>
      <x:c r="N45" s="40"/>
      <x:c r="O45" s="40"/>
      <x:c r="P45" s="31"/>
      <x:c r="Q45" s="31"/>
      <x:c r="R45" s="31"/>
      <x:c r="S45" s="31"/>
      <x:c r="T45" s="31"/>
      <x:c r="U45" s="31"/>
      <x:c r="V45" s="31"/>
      <x:c r="W45" s="36"/>
      <x:c r="X45" s="31"/>
      <x:c r="Y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6"/>
      <x:c r="M46" s="38"/>
      <x:c r="N46" s="40"/>
      <x:c r="O46" s="40"/>
      <x:c r="P46" s="31"/>
      <x:c r="Q46" s="31"/>
      <x:c r="R46" s="31"/>
      <x:c r="S46" s="31"/>
      <x:c r="T46" s="31"/>
      <x:c r="U46" s="31"/>
      <x:c r="V46" s="31"/>
      <x:c r="W46" s="36"/>
      <x:c r="X46" s="31"/>
      <x:c r="Y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6"/>
      <x:c r="M47" s="38"/>
      <x:c r="N47" s="40"/>
      <x:c r="O47" s="40"/>
      <x:c r="P47" s="31"/>
      <x:c r="Q47" s="31"/>
      <x:c r="R47" s="31"/>
      <x:c r="S47" s="31"/>
      <x:c r="T47" s="31"/>
      <x:c r="U47" s="31"/>
      <x:c r="V47" s="31"/>
      <x:c r="W47" s="36"/>
      <x:c r="X47" s="31"/>
      <x:c r="Y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6"/>
      <x:c r="M48" s="38"/>
      <x:c r="N48" s="40"/>
      <x:c r="O48" s="40"/>
      <x:c r="P48" s="31"/>
      <x:c r="Q48" s="31"/>
      <x:c r="R48" s="31"/>
      <x:c r="S48" s="31"/>
      <x:c r="T48" s="31"/>
      <x:c r="U48" s="31"/>
      <x:c r="V48" s="31"/>
      <x:c r="W48" s="36"/>
      <x:c r="X48" s="31"/>
      <x:c r="Y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6"/>
      <x:c r="M49" s="38"/>
      <x:c r="N49" s="40"/>
      <x:c r="O49" s="40"/>
      <x:c r="P49" s="31"/>
      <x:c r="Q49" s="31"/>
      <x:c r="R49" s="31"/>
      <x:c r="S49" s="31"/>
      <x:c r="T49" s="31"/>
      <x:c r="U49" s="31"/>
      <x:c r="V49" s="31"/>
      <x:c r="W49" s="36"/>
      <x:c r="X49" s="31"/>
      <x:c r="Y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6"/>
      <x:c r="M50" s="38"/>
      <x:c r="N50" s="40"/>
      <x:c r="O50" s="40"/>
      <x:c r="P50" s="31"/>
      <x:c r="Q50" s="31"/>
      <x:c r="R50" s="31"/>
      <x:c r="S50" s="31"/>
      <x:c r="T50" s="31"/>
      <x:c r="U50" s="31"/>
      <x:c r="V50" s="31"/>
      <x:c r="W50" s="36"/>
      <x:c r="X50" s="31"/>
      <x:c r="Y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6"/>
      <x:c r="M51" s="38"/>
      <x:c r="N51" s="40"/>
      <x:c r="O51" s="40"/>
      <x:c r="P51" s="31"/>
      <x:c r="Q51" s="31"/>
      <x:c r="R51" s="31"/>
      <x:c r="S51" s="31"/>
      <x:c r="T51" s="31"/>
      <x:c r="U51" s="31"/>
      <x:c r="V51" s="31"/>
      <x:c r="W51" s="36"/>
      <x:c r="X51" s="31"/>
      <x:c r="Y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6"/>
      <x:c r="M52" s="38"/>
      <x:c r="N52" s="40"/>
      <x:c r="O52" s="40"/>
      <x:c r="P52" s="31"/>
      <x:c r="Q52" s="31"/>
      <x:c r="R52" s="31"/>
      <x:c r="S52" s="31"/>
      <x:c r="T52" s="31"/>
      <x:c r="U52" s="31"/>
      <x:c r="V52" s="31"/>
      <x:c r="W52" s="36"/>
      <x:c r="X52" s="31"/>
      <x:c r="Y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6"/>
      <x:c r="M53" s="38"/>
      <x:c r="N53" s="40"/>
      <x:c r="O53" s="40"/>
      <x:c r="P53" s="31"/>
      <x:c r="Q53" s="31"/>
      <x:c r="R53" s="31"/>
      <x:c r="S53" s="31"/>
      <x:c r="T53" s="31"/>
      <x:c r="U53" s="31"/>
      <x:c r="V53" s="31"/>
      <x:c r="W53" s="36"/>
      <x:c r="X53" s="31"/>
      <x:c r="Y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6"/>
      <x:c r="M54" s="38"/>
      <x:c r="N54" s="40"/>
      <x:c r="O54" s="40"/>
      <x:c r="P54" s="31"/>
      <x:c r="Q54" s="31"/>
      <x:c r="R54" s="31"/>
      <x:c r="S54" s="31"/>
      <x:c r="T54" s="31"/>
      <x:c r="U54" s="31"/>
      <x:c r="V54" s="31"/>
      <x:c r="W54" s="36"/>
      <x:c r="X54" s="31"/>
      <x:c r="Y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6"/>
      <x:c r="M55" s="38"/>
      <x:c r="N55" s="40"/>
      <x:c r="O55" s="40"/>
      <x:c r="P55" s="31"/>
      <x:c r="Q55" s="31"/>
      <x:c r="R55" s="31"/>
      <x:c r="S55" s="31"/>
      <x:c r="T55" s="31"/>
      <x:c r="U55" s="31"/>
      <x:c r="V55" s="31"/>
      <x:c r="W55" s="36"/>
      <x:c r="X55" s="31"/>
      <x:c r="Y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6"/>
      <x:c r="M56" s="38"/>
      <x:c r="N56" s="40"/>
      <x:c r="O56" s="40"/>
      <x:c r="P56" s="31"/>
      <x:c r="Q56" s="31"/>
      <x:c r="R56" s="31"/>
      <x:c r="S56" s="31"/>
      <x:c r="T56" s="31"/>
      <x:c r="U56" s="31"/>
      <x:c r="V56" s="31"/>
      <x:c r="W56" s="36"/>
      <x:c r="X56" s="31"/>
      <x:c r="Y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6"/>
      <x:c r="M57" s="38"/>
      <x:c r="N57" s="40"/>
      <x:c r="O57" s="40"/>
      <x:c r="P57" s="31"/>
      <x:c r="Q57" s="31"/>
      <x:c r="R57" s="31"/>
      <x:c r="S57" s="31"/>
      <x:c r="T57" s="31"/>
      <x:c r="U57" s="31"/>
      <x:c r="V57" s="31"/>
      <x:c r="W57" s="36"/>
      <x:c r="X57" s="31"/>
      <x:c r="Y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6"/>
      <x:c r="M58" s="38"/>
      <x:c r="N58" s="40"/>
      <x:c r="O58" s="40"/>
      <x:c r="P58" s="31"/>
      <x:c r="Q58" s="31"/>
      <x:c r="R58" s="31"/>
      <x:c r="S58" s="31"/>
      <x:c r="T58" s="31"/>
      <x:c r="U58" s="31"/>
      <x:c r="V58" s="31"/>
      <x:c r="W58" s="36"/>
      <x:c r="X58" s="31"/>
      <x:c r="Y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6"/>
      <x:c r="M59" s="38"/>
      <x:c r="N59" s="40"/>
      <x:c r="O59" s="40"/>
      <x:c r="P59" s="31"/>
      <x:c r="Q59" s="31"/>
      <x:c r="R59" s="31"/>
      <x:c r="S59" s="31"/>
      <x:c r="T59" s="31"/>
      <x:c r="U59" s="31"/>
      <x:c r="V59" s="31"/>
      <x:c r="W59" s="36"/>
      <x:c r="X59" s="31"/>
      <x:c r="Y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6"/>
      <x:c r="M60" s="38"/>
      <x:c r="N60" s="40"/>
      <x:c r="O60" s="40"/>
      <x:c r="P60" s="31"/>
      <x:c r="Q60" s="31"/>
      <x:c r="R60" s="31"/>
      <x:c r="S60" s="31"/>
      <x:c r="T60" s="31"/>
      <x:c r="U60" s="31"/>
      <x:c r="V60" s="31"/>
      <x:c r="W60" s="36"/>
      <x:c r="X60" s="31"/>
      <x:c r="Y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6"/>
      <x:c r="M61" s="38"/>
      <x:c r="N61" s="40"/>
      <x:c r="O61" s="40"/>
      <x:c r="P61" s="31"/>
      <x:c r="Q61" s="31"/>
      <x:c r="R61" s="31"/>
      <x:c r="S61" s="31"/>
      <x:c r="T61" s="31"/>
      <x:c r="U61" s="31"/>
      <x:c r="V61" s="31"/>
      <x:c r="W61" s="36"/>
      <x:c r="X61" s="31"/>
      <x:c r="Y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6"/>
      <x:c r="M62" s="38"/>
      <x:c r="N62" s="40"/>
      <x:c r="O62" s="40"/>
      <x:c r="P62" s="31"/>
      <x:c r="Q62" s="31"/>
      <x:c r="R62" s="31"/>
      <x:c r="S62" s="31"/>
      <x:c r="T62" s="31"/>
      <x:c r="U62" s="31"/>
      <x:c r="V62" s="31"/>
      <x:c r="W62" s="36"/>
      <x:c r="X62" s="31"/>
      <x:c r="Y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6"/>
      <x:c r="M63" s="38"/>
      <x:c r="N63" s="40"/>
      <x:c r="O63" s="40"/>
      <x:c r="P63" s="31"/>
      <x:c r="Q63" s="31"/>
      <x:c r="R63" s="31"/>
      <x:c r="S63" s="31"/>
      <x:c r="T63" s="31"/>
      <x:c r="U63" s="31"/>
      <x:c r="V63" s="31"/>
      <x:c r="W63" s="36"/>
      <x:c r="X63" s="31"/>
      <x:c r="Y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6"/>
      <x:c r="M64" s="38"/>
      <x:c r="N64" s="40"/>
      <x:c r="O64" s="40"/>
      <x:c r="P64" s="31"/>
      <x:c r="Q64" s="31"/>
      <x:c r="R64" s="31"/>
      <x:c r="S64" s="31"/>
      <x:c r="T64" s="31"/>
      <x:c r="U64" s="31"/>
      <x:c r="V64" s="31"/>
      <x:c r="W64" s="36"/>
      <x:c r="X64" s="31"/>
      <x:c r="Y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6"/>
      <x:c r="M65" s="38"/>
      <x:c r="N65" s="40"/>
      <x:c r="O65" s="40"/>
      <x:c r="P65" s="31"/>
      <x:c r="Q65" s="31"/>
      <x:c r="R65" s="31"/>
      <x:c r="S65" s="31"/>
      <x:c r="T65" s="31"/>
      <x:c r="U65" s="31"/>
      <x:c r="V65" s="31"/>
      <x:c r="W65" s="36"/>
      <x:c r="X65" s="31"/>
      <x:c r="Y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6"/>
      <x:c r="M66" s="38"/>
      <x:c r="N66" s="40"/>
      <x:c r="O66" s="40"/>
      <x:c r="P66" s="31"/>
      <x:c r="Q66" s="31"/>
      <x:c r="R66" s="31"/>
      <x:c r="S66" s="31"/>
      <x:c r="T66" s="31"/>
      <x:c r="U66" s="31"/>
      <x:c r="V66" s="31"/>
      <x:c r="W66" s="36"/>
      <x:c r="X66" s="31"/>
      <x:c r="Y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6"/>
      <x:c r="M67" s="38"/>
      <x:c r="N67" s="40"/>
      <x:c r="O67" s="40"/>
      <x:c r="P67" s="31"/>
      <x:c r="Q67" s="31"/>
      <x:c r="R67" s="31"/>
      <x:c r="S67" s="31"/>
      <x:c r="T67" s="31"/>
      <x:c r="U67" s="31"/>
      <x:c r="V67" s="31"/>
      <x:c r="W67" s="36"/>
      <x:c r="X67" s="31"/>
      <x:c r="Y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6"/>
      <x:c r="M68" s="38"/>
      <x:c r="N68" s="40"/>
      <x:c r="O68" s="40"/>
      <x:c r="P68" s="31"/>
      <x:c r="Q68" s="31"/>
      <x:c r="R68" s="31"/>
      <x:c r="S68" s="31"/>
      <x:c r="T68" s="31"/>
      <x:c r="U68" s="31"/>
      <x:c r="V68" s="31"/>
      <x:c r="W68" s="36"/>
      <x:c r="X68" s="31"/>
      <x:c r="Y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6"/>
      <x:c r="M69" s="38"/>
      <x:c r="N69" s="40"/>
      <x:c r="O69" s="40"/>
      <x:c r="P69" s="31"/>
      <x:c r="Q69" s="31"/>
      <x:c r="R69" s="31"/>
      <x:c r="S69" s="31"/>
      <x:c r="T69" s="31"/>
      <x:c r="U69" s="31"/>
      <x:c r="V69" s="31"/>
      <x:c r="W69" s="36"/>
      <x:c r="X69" s="31"/>
      <x:c r="Y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6"/>
      <x:c r="M70" s="38"/>
      <x:c r="N70" s="40"/>
      <x:c r="O70" s="40"/>
      <x:c r="P70" s="31"/>
      <x:c r="Q70" s="31"/>
      <x:c r="R70" s="31"/>
      <x:c r="S70" s="31"/>
      <x:c r="T70" s="31"/>
      <x:c r="U70" s="31"/>
      <x:c r="V70" s="31"/>
      <x:c r="W70" s="36"/>
      <x:c r="X70" s="31"/>
      <x:c r="Y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6"/>
      <x:c r="M71" s="38"/>
      <x:c r="N71" s="40"/>
      <x:c r="O71" s="40"/>
      <x:c r="P71" s="31"/>
      <x:c r="Q71" s="31"/>
      <x:c r="R71" s="31"/>
      <x:c r="S71" s="31"/>
      <x:c r="T71" s="31"/>
      <x:c r="U71" s="31"/>
      <x:c r="V71" s="31"/>
      <x:c r="W71" s="36"/>
      <x:c r="X71" s="31"/>
      <x:c r="Y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6"/>
      <x:c r="M72" s="38"/>
      <x:c r="N72" s="40"/>
      <x:c r="O72" s="40"/>
      <x:c r="P72" s="31"/>
      <x:c r="Q72" s="31"/>
      <x:c r="R72" s="31"/>
      <x:c r="S72" s="31"/>
      <x:c r="T72" s="31"/>
      <x:c r="U72" s="31"/>
      <x:c r="V72" s="31"/>
      <x:c r="W72" s="36"/>
      <x:c r="X72" s="31"/>
      <x:c r="Y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6"/>
      <x:c r="M73" s="38"/>
      <x:c r="N73" s="40"/>
      <x:c r="O73" s="40"/>
      <x:c r="P73" s="31"/>
      <x:c r="Q73" s="31"/>
      <x:c r="R73" s="31"/>
      <x:c r="S73" s="31"/>
      <x:c r="T73" s="31"/>
      <x:c r="U73" s="31"/>
      <x:c r="V73" s="31"/>
      <x:c r="W73" s="36"/>
      <x:c r="X73" s="31"/>
      <x:c r="Y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6"/>
      <x:c r="M74" s="38"/>
      <x:c r="N74" s="40"/>
      <x:c r="O74" s="40"/>
      <x:c r="P74" s="31"/>
      <x:c r="Q74" s="31"/>
      <x:c r="R74" s="31"/>
      <x:c r="S74" s="31"/>
      <x:c r="T74" s="31"/>
      <x:c r="U74" s="31"/>
      <x:c r="V74" s="31"/>
      <x:c r="W74" s="36"/>
      <x:c r="X74" s="31"/>
      <x:c r="Y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6"/>
      <x:c r="M75" s="38"/>
      <x:c r="N75" s="40"/>
      <x:c r="O75" s="40"/>
      <x:c r="P75" s="31"/>
      <x:c r="Q75" s="31"/>
      <x:c r="R75" s="31"/>
      <x:c r="S75" s="31"/>
      <x:c r="T75" s="31"/>
      <x:c r="U75" s="31"/>
      <x:c r="V75" s="31"/>
      <x:c r="W75" s="36"/>
      <x:c r="X75" s="31"/>
      <x:c r="Y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6"/>
      <x:c r="M76" s="38"/>
      <x:c r="N76" s="40"/>
      <x:c r="O76" s="40"/>
      <x:c r="P76" s="31"/>
      <x:c r="Q76" s="31"/>
      <x:c r="R76" s="31"/>
      <x:c r="S76" s="31"/>
      <x:c r="T76" s="31"/>
      <x:c r="U76" s="31"/>
      <x:c r="V76" s="31"/>
      <x:c r="W76" s="36"/>
      <x:c r="X76" s="31"/>
      <x:c r="Y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6"/>
      <x:c r="M77" s="38"/>
      <x:c r="N77" s="40"/>
      <x:c r="O77" s="40"/>
      <x:c r="P77" s="31"/>
      <x:c r="Q77" s="31"/>
      <x:c r="R77" s="31"/>
      <x:c r="S77" s="31"/>
      <x:c r="T77" s="31"/>
      <x:c r="U77" s="31"/>
      <x:c r="V77" s="31"/>
      <x:c r="W77" s="36"/>
      <x:c r="X77" s="31"/>
      <x:c r="Y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6"/>
      <x:c r="M78" s="38"/>
      <x:c r="N78" s="40"/>
      <x:c r="O78" s="40"/>
      <x:c r="P78" s="31"/>
      <x:c r="Q78" s="31"/>
      <x:c r="R78" s="31"/>
      <x:c r="S78" s="31"/>
      <x:c r="T78" s="31"/>
      <x:c r="U78" s="31"/>
      <x:c r="V78" s="31"/>
      <x:c r="W78" s="36"/>
      <x:c r="X78" s="31"/>
      <x:c r="Y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6"/>
      <x:c r="M79" s="38"/>
      <x:c r="N79" s="40"/>
      <x:c r="O79" s="40"/>
      <x:c r="P79" s="31"/>
      <x:c r="Q79" s="31"/>
      <x:c r="R79" s="31"/>
      <x:c r="S79" s="31"/>
      <x:c r="T79" s="31"/>
      <x:c r="U79" s="31"/>
      <x:c r="V79" s="31"/>
      <x:c r="W79" s="36"/>
      <x:c r="X79" s="31"/>
      <x:c r="Y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6"/>
      <x:c r="M80" s="38"/>
      <x:c r="N80" s="40"/>
      <x:c r="O80" s="40"/>
      <x:c r="P80" s="31"/>
      <x:c r="Q80" s="31"/>
      <x:c r="R80" s="31"/>
      <x:c r="S80" s="31"/>
      <x:c r="T80" s="31"/>
      <x:c r="U80" s="31"/>
      <x:c r="V80" s="31"/>
      <x:c r="W80" s="36"/>
      <x:c r="X80" s="31"/>
      <x:c r="Y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6"/>
      <x:c r="M81" s="38"/>
      <x:c r="N81" s="40"/>
      <x:c r="O81" s="40"/>
      <x:c r="P81" s="31"/>
      <x:c r="Q81" s="31"/>
      <x:c r="R81" s="31"/>
      <x:c r="S81" s="31"/>
      <x:c r="T81" s="31"/>
      <x:c r="U81" s="31"/>
      <x:c r="V81" s="31"/>
      <x:c r="W81" s="36"/>
      <x:c r="X81" s="31"/>
      <x:c r="Y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6"/>
      <x:c r="M82" s="38"/>
      <x:c r="N82" s="40"/>
      <x:c r="O82" s="40"/>
      <x:c r="P82" s="31"/>
      <x:c r="Q82" s="31"/>
      <x:c r="R82" s="31"/>
      <x:c r="S82" s="31"/>
      <x:c r="T82" s="31"/>
      <x:c r="U82" s="31"/>
      <x:c r="V82" s="31"/>
      <x:c r="W82" s="36"/>
      <x:c r="X82" s="31"/>
      <x:c r="Y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6"/>
      <x:c r="M83" s="38"/>
      <x:c r="N83" s="40"/>
      <x:c r="O83" s="40"/>
      <x:c r="P83" s="31"/>
      <x:c r="Q83" s="31"/>
      <x:c r="R83" s="31"/>
      <x:c r="S83" s="31"/>
      <x:c r="T83" s="31"/>
      <x:c r="U83" s="31"/>
      <x:c r="V83" s="31"/>
      <x:c r="W83" s="36"/>
      <x:c r="X83" s="31"/>
      <x:c r="Y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6"/>
      <x:c r="M84" s="38"/>
      <x:c r="N84" s="40"/>
      <x:c r="O84" s="40"/>
      <x:c r="P84" s="31"/>
      <x:c r="Q84" s="31"/>
      <x:c r="R84" s="31"/>
      <x:c r="S84" s="31"/>
      <x:c r="T84" s="31"/>
      <x:c r="U84" s="31"/>
      <x:c r="V84" s="31"/>
      <x:c r="W84" s="36"/>
      <x:c r="X84" s="31"/>
      <x:c r="Y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6"/>
      <x:c r="M85" s="38"/>
      <x:c r="N85" s="40"/>
      <x:c r="O85" s="40"/>
      <x:c r="P85" s="31"/>
      <x:c r="Q85" s="31"/>
      <x:c r="R85" s="31"/>
      <x:c r="S85" s="31"/>
      <x:c r="T85" s="31"/>
      <x:c r="U85" s="31"/>
      <x:c r="V85" s="31"/>
      <x:c r="W85" s="36"/>
      <x:c r="X85" s="31"/>
      <x:c r="Y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6"/>
      <x:c r="M86" s="38"/>
      <x:c r="N86" s="40"/>
      <x:c r="O86" s="40"/>
      <x:c r="P86" s="31"/>
      <x:c r="Q86" s="31"/>
      <x:c r="R86" s="31"/>
      <x:c r="S86" s="31"/>
      <x:c r="T86" s="31"/>
      <x:c r="U86" s="31"/>
      <x:c r="V86" s="31"/>
      <x:c r="W86" s="36"/>
      <x:c r="X86" s="31"/>
      <x:c r="Y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6"/>
      <x:c r="M87" s="38"/>
      <x:c r="N87" s="40"/>
      <x:c r="O87" s="40"/>
      <x:c r="P87" s="31"/>
      <x:c r="Q87" s="31"/>
      <x:c r="R87" s="31"/>
      <x:c r="S87" s="31"/>
      <x:c r="T87" s="31"/>
      <x:c r="U87" s="31"/>
      <x:c r="V87" s="31"/>
      <x:c r="W87" s="36"/>
      <x:c r="X87" s="31"/>
      <x:c r="Y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6"/>
      <x:c r="M88" s="38"/>
      <x:c r="N88" s="40"/>
      <x:c r="O88" s="40"/>
      <x:c r="P88" s="31"/>
      <x:c r="Q88" s="31"/>
      <x:c r="R88" s="31"/>
      <x:c r="S88" s="31"/>
      <x:c r="T88" s="31"/>
      <x:c r="U88" s="31"/>
      <x:c r="V88" s="31"/>
      <x:c r="W88" s="36"/>
      <x:c r="X88" s="31"/>
      <x:c r="Y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6"/>
      <x:c r="M89" s="38"/>
      <x:c r="N89" s="40"/>
      <x:c r="O89" s="40"/>
      <x:c r="P89" s="31"/>
      <x:c r="Q89" s="31"/>
      <x:c r="R89" s="31"/>
      <x:c r="S89" s="31"/>
      <x:c r="T89" s="31"/>
      <x:c r="U89" s="31"/>
      <x:c r="V89" s="31"/>
      <x:c r="W89" s="36"/>
      <x:c r="X89" s="31"/>
      <x:c r="Y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6"/>
      <x:c r="M90" s="38"/>
      <x:c r="N90" s="40"/>
      <x:c r="O90" s="40"/>
      <x:c r="P90" s="31"/>
      <x:c r="Q90" s="31"/>
      <x:c r="R90" s="31"/>
      <x:c r="S90" s="31"/>
      <x:c r="T90" s="31"/>
      <x:c r="U90" s="31"/>
      <x:c r="V90" s="31"/>
      <x:c r="W90" s="36"/>
      <x:c r="X90" s="31"/>
      <x:c r="Y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6"/>
      <x:c r="M91" s="38"/>
      <x:c r="N91" s="40"/>
      <x:c r="O91" s="40"/>
      <x:c r="P91" s="31"/>
      <x:c r="Q91" s="31"/>
      <x:c r="R91" s="31"/>
      <x:c r="S91" s="31"/>
      <x:c r="T91" s="31"/>
      <x:c r="U91" s="31"/>
      <x:c r="V91" s="31"/>
      <x:c r="W91" s="36"/>
      <x:c r="X91" s="31"/>
      <x:c r="Y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6"/>
      <x:c r="M92" s="38"/>
      <x:c r="N92" s="40"/>
      <x:c r="O92" s="40"/>
      <x:c r="P92" s="31"/>
      <x:c r="Q92" s="31"/>
      <x:c r="R92" s="31"/>
      <x:c r="S92" s="31"/>
      <x:c r="T92" s="31"/>
      <x:c r="U92" s="31"/>
      <x:c r="V92" s="31"/>
      <x:c r="W92" s="36"/>
      <x:c r="X92" s="31"/>
      <x:c r="Y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6"/>
      <x:c r="M93" s="38"/>
      <x:c r="N93" s="40"/>
      <x:c r="O93" s="40"/>
      <x:c r="P93" s="31"/>
      <x:c r="Q93" s="31"/>
      <x:c r="R93" s="31"/>
      <x:c r="S93" s="31"/>
      <x:c r="T93" s="31"/>
      <x:c r="U93" s="31"/>
      <x:c r="V93" s="31"/>
      <x:c r="W93" s="36"/>
      <x:c r="X93" s="31"/>
      <x:c r="Y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6"/>
      <x:c r="M94" s="38"/>
      <x:c r="N94" s="40"/>
      <x:c r="O94" s="40"/>
      <x:c r="P94" s="31"/>
      <x:c r="Q94" s="31"/>
      <x:c r="R94" s="31"/>
      <x:c r="S94" s="31"/>
      <x:c r="T94" s="31"/>
      <x:c r="U94" s="31"/>
      <x:c r="V94" s="31"/>
      <x:c r="W94" s="36"/>
      <x:c r="X94" s="31"/>
      <x:c r="Y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6"/>
      <x:c r="M95" s="38"/>
      <x:c r="N95" s="40"/>
      <x:c r="O95" s="40"/>
      <x:c r="P95" s="31"/>
      <x:c r="Q95" s="31"/>
      <x:c r="R95" s="31"/>
      <x:c r="S95" s="31"/>
      <x:c r="T95" s="31"/>
      <x:c r="U95" s="31"/>
      <x:c r="V95" s="31"/>
      <x:c r="W95" s="36"/>
      <x:c r="X95" s="31"/>
      <x:c r="Y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6"/>
      <x:c r="M96" s="38"/>
      <x:c r="N96" s="40"/>
      <x:c r="O96" s="40"/>
      <x:c r="P96" s="31"/>
      <x:c r="Q96" s="31"/>
      <x:c r="R96" s="31"/>
      <x:c r="S96" s="31"/>
      <x:c r="T96" s="31"/>
      <x:c r="U96" s="31"/>
      <x:c r="V96" s="31"/>
      <x:c r="W96" s="36"/>
      <x:c r="X96" s="31"/>
      <x:c r="Y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6"/>
      <x:c r="M97" s="38"/>
      <x:c r="N97" s="40"/>
      <x:c r="O97" s="40"/>
      <x:c r="P97" s="31"/>
      <x:c r="Q97" s="31"/>
      <x:c r="R97" s="31"/>
      <x:c r="S97" s="31"/>
      <x:c r="T97" s="31"/>
      <x:c r="U97" s="31"/>
      <x:c r="V97" s="31"/>
      <x:c r="W97" s="36"/>
      <x:c r="X97" s="31"/>
      <x:c r="Y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6"/>
      <x:c r="M98" s="38"/>
      <x:c r="N98" s="40"/>
      <x:c r="O98" s="40"/>
      <x:c r="P98" s="31"/>
      <x:c r="Q98" s="31"/>
      <x:c r="R98" s="31"/>
      <x:c r="S98" s="31"/>
      <x:c r="T98" s="31"/>
      <x:c r="U98" s="31"/>
      <x:c r="V98" s="31"/>
      <x:c r="W98" s="36"/>
      <x:c r="X98" s="31"/>
      <x:c r="Y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6"/>
      <x:c r="M99" s="38"/>
      <x:c r="N99" s="40"/>
      <x:c r="O99" s="40"/>
      <x:c r="P99" s="31"/>
      <x:c r="Q99" s="31"/>
      <x:c r="R99" s="31"/>
      <x:c r="S99" s="31"/>
      <x:c r="T99" s="31"/>
      <x:c r="U99" s="31"/>
      <x:c r="V99" s="31"/>
      <x:c r="W99" s="36"/>
      <x:c r="X99" s="31"/>
      <x:c r="Y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6"/>
      <x:c r="M100" s="38"/>
      <x:c r="N100" s="40"/>
      <x:c r="O100" s="40"/>
      <x:c r="P100" s="31"/>
      <x:c r="Q100" s="31"/>
      <x:c r="R100" s="31"/>
      <x:c r="S100" s="31"/>
      <x:c r="T100" s="31"/>
      <x:c r="U100" s="31"/>
      <x:c r="V100" s="31"/>
      <x:c r="W100" s="36"/>
      <x:c r="X100" s="31"/>
      <x:c r="Y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6"/>
      <x:c r="M101" s="38"/>
      <x:c r="N101" s="40"/>
      <x:c r="O101" s="40"/>
      <x:c r="P101" s="31"/>
      <x:c r="Q101" s="31"/>
      <x:c r="R101" s="31"/>
      <x:c r="S101" s="31"/>
      <x:c r="T101" s="31"/>
      <x:c r="U101" s="31"/>
      <x:c r="V101" s="31"/>
      <x:c r="W101" s="36"/>
      <x:c r="X101" s="31"/>
      <x:c r="Y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6"/>
      <x:c r="M102" s="38"/>
      <x:c r="N102" s="40"/>
      <x:c r="O102" s="40"/>
      <x:c r="P102" s="31"/>
      <x:c r="Q102" s="31"/>
      <x:c r="R102" s="31"/>
      <x:c r="S102" s="31"/>
      <x:c r="T102" s="31"/>
      <x:c r="U102" s="31"/>
      <x:c r="V102" s="31"/>
      <x:c r="W102" s="36"/>
      <x:c r="X102" s="31"/>
      <x:c r="Y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6"/>
      <x:c r="M103" s="38"/>
      <x:c r="N103" s="40"/>
      <x:c r="O103" s="40"/>
      <x:c r="P103" s="31"/>
      <x:c r="Q103" s="31"/>
      <x:c r="R103" s="31"/>
      <x:c r="S103" s="31"/>
      <x:c r="T103" s="31"/>
      <x:c r="U103" s="31"/>
      <x:c r="V103" s="31"/>
      <x:c r="W103" s="36"/>
      <x:c r="X103" s="31"/>
      <x:c r="Y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6"/>
      <x:c r="M104" s="38"/>
      <x:c r="N104" s="40"/>
      <x:c r="O104" s="40"/>
      <x:c r="P104" s="31"/>
      <x:c r="Q104" s="31"/>
      <x:c r="R104" s="31"/>
      <x:c r="S104" s="31"/>
      <x:c r="T104" s="31"/>
      <x:c r="U104" s="31"/>
      <x:c r="V104" s="31"/>
      <x:c r="W104" s="36"/>
      <x:c r="X104" s="31"/>
      <x:c r="Y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6"/>
      <x:c r="M105" s="38"/>
      <x:c r="N105" s="40"/>
      <x:c r="O105" s="40"/>
      <x:c r="P105" s="31"/>
      <x:c r="Q105" s="31"/>
      <x:c r="R105" s="31"/>
      <x:c r="S105" s="31"/>
      <x:c r="T105" s="31"/>
      <x:c r="U105" s="31"/>
      <x:c r="V105" s="31"/>
      <x:c r="W105" s="36"/>
      <x:c r="X105" s="31"/>
      <x:c r="Y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6"/>
      <x:c r="M106" s="38"/>
      <x:c r="N106" s="40"/>
      <x:c r="O106" s="40"/>
      <x:c r="P106" s="31"/>
      <x:c r="Q106" s="31"/>
      <x:c r="R106" s="31"/>
      <x:c r="S106" s="31"/>
      <x:c r="T106" s="31"/>
      <x:c r="U106" s="31"/>
      <x:c r="V106" s="31"/>
      <x:c r="W106" s="36"/>
      <x:c r="X106" s="31"/>
      <x:c r="Y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6"/>
      <x:c r="M107" s="38"/>
      <x:c r="N107" s="40"/>
      <x:c r="O107" s="40"/>
      <x:c r="P107" s="31"/>
      <x:c r="Q107" s="31"/>
      <x:c r="R107" s="31"/>
      <x:c r="S107" s="31"/>
      <x:c r="T107" s="31"/>
      <x:c r="U107" s="31"/>
      <x:c r="V107" s="31"/>
      <x:c r="W107" s="36"/>
      <x:c r="X107" s="31"/>
      <x:c r="Y107" s="31"/>
    </x:row>
  </x:sheetData>
  <x:mergeCells>
    <x:mergeCell ref="A1:Y1"/>
    <x:mergeCell ref="A2:Y2"/>
  </x:mergeCells>
  <x:conditionalFormatting sqref="N5:N10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10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5">
    <x:dataValidation type="list" sqref="B5:B107">
      <x:formula1>"GOV,EXP"</x:formula1>
    </x:dataValidation>
    <x:dataValidation type="list" sqref="C5:C107">
      <x:formula1>"NEW,FAST_KILL,DEEP_READ,SUPPLIER_SEARCH,PRICING_READY,APPROVAL_REQUIRED,SENT_OR_SUBMITTED,FOLLOW_UP,WON,LOST,ARCHIVED,WATCHLIST"</x:formula1>
    </x:dataValidation>
    <x:dataValidation type="list" sqref="D5:D107">
      <x:formula1>"Open,Blocked,Rejected,Watchlist,Ready,Approved,Changes Requested,Sent,Submitted,Won,Lost,Archived"</x:formula1>
    </x:dataValidation>
    <x:dataValidation type="list" sqref="E5:E107">
      <x:formula1>"P0 Urgent,P1 High,P2 Medium,P3 Low"</x:formula1>
    </x:dataValidation>
    <x:dataValidation type="list" sqref="V5:V107">
      <x:formula1>"Radar Agent,Fast Kill Agent,Deep Read Agent,Supplier Engine,Pricing Agent,Compliance Agent,Pack Builder,Approval Desk,Execution Tracker,Owner Briefing Agent"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9a8f31b5fa49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3" hidden="0" customWidth="1"/>
    <x:col min="2" max="2" width="15.25" hidden="0" customWidth="1"/>
    <x:col min="3" max="3" width="14.130000114440918" hidden="0" customWidth="1"/>
    <x:col min="4" max="4" width="16.6299991607666" hidden="0" customWidth="1"/>
    <x:col min="5" max="5" width="13.75" hidden="0" customWidth="1"/>
    <x:col min="6" max="6" width="13.75" hidden="0" customWidth="1"/>
    <x:col min="7" max="7" width="28" hidden="0" customWidth="1"/>
    <x:col min="8" max="8" width="28" hidden="0" customWidth="1"/>
    <x:col min="9" max="9" width="28" hidden="0" customWidth="1"/>
    <x:col min="10" max="10" width="16.6299991607666" hidden="0" customWidth="1"/>
    <x:col min="11" max="11" width="28" hidden="0" customWidth="1"/>
    <x:col min="12" max="12" width="28" hidden="0" customWidth="1"/>
    <x:col min="13" max="13" width="28" hidden="0" customWidth="1"/>
    <x:col min="14" max="14" width="11" hidden="0" customWidth="1"/>
    <x:col min="15" max="15" width="16.5" hidden="0" customWidth="1"/>
    <x:col min="16" max="16" width="28" hidden="0" customWidth="1"/>
  </x:cols>
  <x:sheetData>
    <x:row r="1" ht="30" customHeight="1">
      <x:c r="A1" s="70" t="str">
        <x:v>AGENT RUN LOG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5" t="str">
        <x:v>Every Codex/Hermes/agent run should leave proof: sources checked, docs read, output, confidence, next action.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4">
      <x:c r="A4" s="34" t="str">
        <x:v>Run_ID</x:v>
      </x:c>
      <x:c r="B4" s="34" t="str">
        <x:v>Case_ID</x:v>
      </x:c>
      <x:c r="C4" s="34" t="str">
        <x:v>Agent</x:v>
      </x:c>
      <x:c r="D4" s="34" t="str">
        <x:v>Mode</x:v>
      </x:c>
      <x:c r="E4" s="34" t="str">
        <x:v>Start_Time</x:v>
      </x:c>
      <x:c r="F4" s="34" t="str">
        <x:v>End_Time</x:v>
      </x:c>
      <x:c r="G4" s="34" t="str">
        <x:v>Sources_Checked</x:v>
      </x:c>
      <x:c r="H4" s="34" t="str">
        <x:v>Docs_Read</x:v>
      </x:c>
      <x:c r="I4" s="34" t="str">
        <x:v>Fields_Extracted</x:v>
      </x:c>
      <x:c r="J4" s="34" t="str">
        <x:v>Confidence_Score</x:v>
      </x:c>
      <x:c r="K4" s="34" t="str">
        <x:v>Missing_Data</x:v>
      </x:c>
      <x:c r="L4" s="34" t="str">
        <x:v>Output_Link</x:v>
      </x:c>
      <x:c r="M4" s="34" t="str">
        <x:v>Next_Action</x:v>
      </x:c>
      <x:c r="N4" s="34" t="str">
        <x:v>Status</x:v>
      </x:c>
      <x:c r="O4" s="34" t="str">
        <x:v>Receipt_Required</x:v>
      </x:c>
      <x:c r="P4" s="34" t="str">
        <x:v>Notes</x:v>
      </x:c>
    </x:row>
    <x:row r="5">
      <x:c r="A5" s="31" t="str">
        <x:v>RUN-20260630-001</x:v>
      </x:c>
      <x:c r="B5" s="31" t="str">
        <x:v>GOV-20260630-001</x:v>
      </x:c>
      <x:c r="C5" s="31" t="str">
        <x:v>Fast Kill Agent</x:v>
      </x:c>
      <x:c r="D5" s="31" t="str">
        <x:v>Autopilot Research</x:v>
      </x:c>
      <x:c r="E5" s="42" t="n">
        <x:v>46202.7939430787</x:v>
      </x:c>
      <x:c r="F5" s="42" t="n">
        <x:v>46202.7939430787</x:v>
      </x:c>
      <x:c r="G5" s="31" t="str">
        <x:v>GeM + Source cache</x:v>
      </x:c>
      <x:c r="H5" s="31" t="str">
        <x:v>Tender summary</x:v>
      </x:c>
      <x:c r="I5" s="31" t="str">
        <x:v>EMD, deadline, buyer, category</x:v>
      </x:c>
      <x:c r="J5" s="46" t="n">
        <x:v>0.84</x:v>
      </x:c>
      <x:c r="K5" s="31" t="str">
        <x:v>Exact BOQ pending</x:v>
      </x:c>
      <x:c r="L5" s="31" t="str">
        <x:v>outputs/case_reports/GOV-20260630-001.html</x:v>
      </x:c>
      <x:c r="M5" s="31" t="str">
        <x:v>Run deep read</x:v>
      </x:c>
      <x:c r="N5" s="31" t="str">
        <x:v>Complete</x:v>
      </x:c>
      <x:c r="O5" s="31" t="str">
        <x:v>No</x:v>
      </x:c>
      <x:c r="P5" s="31" t="str">
        <x:v>Sample</x:v>
      </x:c>
    </x:row>
    <x:row r="6">
      <x:c r="A6" s="31" t="str">
        <x:v>RUN-20260630-002</x:v>
      </x:c>
      <x:c r="B6" s="31" t="str">
        <x:v>EXP-20260630-001</x:v>
      </x:c>
      <x:c r="C6" s="31" t="str">
        <x:v>Supplier Engine</x:v>
      </x:c>
      <x:c r="D6" s="31" t="str">
        <x:v>Autopilot Research</x:v>
      </x:c>
      <x:c r="E6" s="42" t="n">
        <x:v>46202.7939430787</x:v>
      </x:c>
      <x:c r="F6" s="42" t="n">
        <x:v>46202.7939430787</x:v>
      </x:c>
      <x:c r="G6" s="31" t="str">
        <x:v>IndiaMART, TradeIndia, Alibaba</x:v>
      </x:c>
      <x:c r="H6" s="31" t="str">
        <x:v>None</x:v>
      </x:c>
      <x:c r="I6" s="31" t="str">
        <x:v>Supplier names, contacts, category fit</x:v>
      </x:c>
      <x:c r="J6" s="46" t="n">
        <x:v>0.72</x:v>
      </x:c>
      <x:c r="K6" s="31" t="str">
        <x:v>Need 2 quote proofs</x:v>
      </x:c>
      <x:c r="L6" s="31" t="str">
        <x:v>outputs/case_reports/EXP-20260630-001_suppliers.html</x:v>
      </x:c>
      <x:c r="M6" s="31" t="str">
        <x:v>Send quote requests after approval</x:v>
      </x:c>
      <x:c r="N6" s="31" t="str">
        <x:v>Needs Review</x:v>
      </x:c>
      <x:c r="O6" s="31" t="str">
        <x:v>Yes</x:v>
      </x:c>
      <x:c r="P6" s="31" t="str">
        <x:v>Sample</x:v>
      </x:c>
    </x:row>
    <x:row r="7">
      <x:c r="A7" s="31"/>
      <x:c r="B7" s="31"/>
      <x:c r="C7" s="31"/>
      <x:c r="D7" s="31"/>
      <x:c r="E7" s="42"/>
      <x:c r="F7" s="42"/>
      <x:c r="G7" s="31"/>
      <x:c r="H7" s="31"/>
      <x:c r="I7" s="31"/>
      <x:c r="J7" s="46"/>
      <x:c r="K7" s="31"/>
      <x:c r="L7" s="31"/>
      <x:c r="M7" s="31"/>
      <x:c r="N7" s="31"/>
      <x:c r="O7" s="31"/>
      <x:c r="P7" s="31"/>
    </x:row>
    <x:row r="8">
      <x:c r="A8" s="31"/>
      <x:c r="B8" s="31"/>
      <x:c r="C8" s="31"/>
      <x:c r="D8" s="31"/>
      <x:c r="E8" s="42"/>
      <x:c r="F8" s="42"/>
      <x:c r="G8" s="31"/>
      <x:c r="H8" s="31"/>
      <x:c r="I8" s="31"/>
      <x:c r="J8" s="46"/>
      <x:c r="K8" s="31"/>
      <x:c r="L8" s="31"/>
      <x:c r="M8" s="31"/>
      <x:c r="N8" s="31"/>
      <x:c r="O8" s="31"/>
      <x:c r="P8" s="31"/>
    </x:row>
    <x:row r="9">
      <x:c r="A9" s="31"/>
      <x:c r="B9" s="31"/>
      <x:c r="C9" s="31"/>
      <x:c r="D9" s="31"/>
      <x:c r="E9" s="42"/>
      <x:c r="F9" s="42"/>
      <x:c r="G9" s="31"/>
      <x:c r="H9" s="31"/>
      <x:c r="I9" s="31"/>
      <x:c r="J9" s="46"/>
      <x:c r="K9" s="31"/>
      <x:c r="L9" s="31"/>
      <x:c r="M9" s="31"/>
      <x:c r="N9" s="31"/>
      <x:c r="O9" s="31"/>
      <x:c r="P9" s="31"/>
    </x:row>
    <x:row r="10">
      <x:c r="A10" s="31"/>
      <x:c r="B10" s="31"/>
      <x:c r="C10" s="31"/>
      <x:c r="D10" s="31"/>
      <x:c r="E10" s="42"/>
      <x:c r="F10" s="42"/>
      <x:c r="G10" s="31"/>
      <x:c r="H10" s="31"/>
      <x:c r="I10" s="31"/>
      <x:c r="J10" s="46"/>
      <x:c r="K10" s="31"/>
      <x:c r="L10" s="31"/>
      <x:c r="M10" s="31"/>
      <x:c r="N10" s="31"/>
      <x:c r="O10" s="31"/>
      <x:c r="P10" s="31"/>
    </x:row>
    <x:row r="11">
      <x:c r="A11" s="31"/>
      <x:c r="B11" s="31"/>
      <x:c r="C11" s="31"/>
      <x:c r="D11" s="31"/>
      <x:c r="E11" s="42"/>
      <x:c r="F11" s="42"/>
      <x:c r="G11" s="31"/>
      <x:c r="H11" s="31"/>
      <x:c r="I11" s="31"/>
      <x:c r="J11" s="46"/>
      <x:c r="K11" s="31"/>
      <x:c r="L11" s="31"/>
      <x:c r="M11" s="31"/>
      <x:c r="N11" s="31"/>
      <x:c r="O11" s="31"/>
      <x:c r="P11" s="31"/>
    </x:row>
    <x:row r="12">
      <x:c r="A12" s="31"/>
      <x:c r="B12" s="31"/>
      <x:c r="C12" s="31"/>
      <x:c r="D12" s="31"/>
      <x:c r="E12" s="42"/>
      <x:c r="F12" s="42"/>
      <x:c r="G12" s="31"/>
      <x:c r="H12" s="31"/>
      <x:c r="I12" s="31"/>
      <x:c r="J12" s="46"/>
      <x:c r="K12" s="31"/>
      <x:c r="L12" s="31"/>
      <x:c r="M12" s="31"/>
      <x:c r="N12" s="31"/>
      <x:c r="O12" s="31"/>
      <x:c r="P12" s="31"/>
    </x:row>
    <x:row r="13">
      <x:c r="A13" s="31"/>
      <x:c r="B13" s="31"/>
      <x:c r="C13" s="31"/>
      <x:c r="D13" s="31"/>
      <x:c r="E13" s="42"/>
      <x:c r="F13" s="42"/>
      <x:c r="G13" s="31"/>
      <x:c r="H13" s="31"/>
      <x:c r="I13" s="31"/>
      <x:c r="J13" s="46"/>
      <x:c r="K13" s="31"/>
      <x:c r="L13" s="31"/>
      <x:c r="M13" s="31"/>
      <x:c r="N13" s="31"/>
      <x:c r="O13" s="31"/>
      <x:c r="P13" s="31"/>
    </x:row>
    <x:row r="14">
      <x:c r="A14" s="31"/>
      <x:c r="B14" s="31"/>
      <x:c r="C14" s="31"/>
      <x:c r="D14" s="31"/>
      <x:c r="E14" s="42"/>
      <x:c r="F14" s="42"/>
      <x:c r="G14" s="31"/>
      <x:c r="H14" s="31"/>
      <x:c r="I14" s="31"/>
      <x:c r="J14" s="46"/>
      <x:c r="K14" s="31"/>
      <x:c r="L14" s="31"/>
      <x:c r="M14" s="31"/>
      <x:c r="N14" s="31"/>
      <x:c r="O14" s="31"/>
      <x:c r="P14" s="31"/>
    </x:row>
    <x:row r="15">
      <x:c r="A15" s="31"/>
      <x:c r="B15" s="31"/>
      <x:c r="C15" s="31"/>
      <x:c r="D15" s="31"/>
      <x:c r="E15" s="42"/>
      <x:c r="F15" s="42"/>
      <x:c r="G15" s="31"/>
      <x:c r="H15" s="31"/>
      <x:c r="I15" s="31"/>
      <x:c r="J15" s="46"/>
      <x:c r="K15" s="31"/>
      <x:c r="L15" s="31"/>
      <x:c r="M15" s="31"/>
      <x:c r="N15" s="31"/>
      <x:c r="O15" s="31"/>
      <x:c r="P15" s="31"/>
    </x:row>
    <x:row r="16">
      <x:c r="A16" s="31"/>
      <x:c r="B16" s="31"/>
      <x:c r="C16" s="31"/>
      <x:c r="D16" s="31"/>
      <x:c r="E16" s="42"/>
      <x:c r="F16" s="42"/>
      <x:c r="G16" s="31"/>
      <x:c r="H16" s="31"/>
      <x:c r="I16" s="31"/>
      <x:c r="J16" s="46"/>
      <x:c r="K16" s="31"/>
      <x:c r="L16" s="31"/>
      <x:c r="M16" s="31"/>
      <x:c r="N16" s="31"/>
      <x:c r="O16" s="31"/>
      <x:c r="P16" s="31"/>
    </x:row>
    <x:row r="17">
      <x:c r="A17" s="31"/>
      <x:c r="B17" s="31"/>
      <x:c r="C17" s="31"/>
      <x:c r="D17" s="31"/>
      <x:c r="E17" s="42"/>
      <x:c r="F17" s="42"/>
      <x:c r="G17" s="31"/>
      <x:c r="H17" s="31"/>
      <x:c r="I17" s="31"/>
      <x:c r="J17" s="46"/>
      <x:c r="K17" s="31"/>
      <x:c r="L17" s="31"/>
      <x:c r="M17" s="31"/>
      <x:c r="N17" s="31"/>
      <x:c r="O17" s="31"/>
      <x:c r="P17" s="31"/>
    </x:row>
    <x:row r="18">
      <x:c r="A18" s="31"/>
      <x:c r="B18" s="31"/>
      <x:c r="C18" s="31"/>
      <x:c r="D18" s="31"/>
      <x:c r="E18" s="42"/>
      <x:c r="F18" s="42"/>
      <x:c r="G18" s="31"/>
      <x:c r="H18" s="31"/>
      <x:c r="I18" s="31"/>
      <x:c r="J18" s="46"/>
      <x:c r="K18" s="31"/>
      <x:c r="L18" s="31"/>
      <x:c r="M18" s="31"/>
      <x:c r="N18" s="31"/>
      <x:c r="O18" s="31"/>
      <x:c r="P18" s="31"/>
    </x:row>
    <x:row r="19">
      <x:c r="A19" s="31"/>
      <x:c r="B19" s="31"/>
      <x:c r="C19" s="31"/>
      <x:c r="D19" s="31"/>
      <x:c r="E19" s="42"/>
      <x:c r="F19" s="42"/>
      <x:c r="G19" s="31"/>
      <x:c r="H19" s="31"/>
      <x:c r="I19" s="31"/>
      <x:c r="J19" s="46"/>
      <x:c r="K19" s="31"/>
      <x:c r="L19" s="31"/>
      <x:c r="M19" s="31"/>
      <x:c r="N19" s="31"/>
      <x:c r="O19" s="31"/>
      <x:c r="P19" s="31"/>
    </x:row>
    <x:row r="20">
      <x:c r="A20" s="31"/>
      <x:c r="B20" s="31"/>
      <x:c r="C20" s="31"/>
      <x:c r="D20" s="31"/>
      <x:c r="E20" s="42"/>
      <x:c r="F20" s="42"/>
      <x:c r="G20" s="31"/>
      <x:c r="H20" s="31"/>
      <x:c r="I20" s="31"/>
      <x:c r="J20" s="46"/>
      <x:c r="K20" s="31"/>
      <x:c r="L20" s="31"/>
      <x:c r="M20" s="31"/>
      <x:c r="N20" s="31"/>
      <x:c r="O20" s="31"/>
      <x:c r="P20" s="31"/>
    </x:row>
    <x:row r="21">
      <x:c r="A21" s="31"/>
      <x:c r="B21" s="31"/>
      <x:c r="C21" s="31"/>
      <x:c r="D21" s="31"/>
      <x:c r="E21" s="42"/>
      <x:c r="F21" s="42"/>
      <x:c r="G21" s="31"/>
      <x:c r="H21" s="31"/>
      <x:c r="I21" s="31"/>
      <x:c r="J21" s="46"/>
      <x:c r="K21" s="31"/>
      <x:c r="L21" s="31"/>
      <x:c r="M21" s="31"/>
      <x:c r="N21" s="31"/>
      <x:c r="O21" s="31"/>
      <x:c r="P21" s="31"/>
    </x:row>
    <x:row r="22">
      <x:c r="A22" s="31"/>
      <x:c r="B22" s="31"/>
      <x:c r="C22" s="31"/>
      <x:c r="D22" s="31"/>
      <x:c r="E22" s="42"/>
      <x:c r="F22" s="42"/>
      <x:c r="G22" s="31"/>
      <x:c r="H22" s="31"/>
      <x:c r="I22" s="31"/>
      <x:c r="J22" s="46"/>
      <x:c r="K22" s="31"/>
      <x:c r="L22" s="31"/>
      <x:c r="M22" s="31"/>
      <x:c r="N22" s="31"/>
      <x:c r="O22" s="31"/>
      <x:c r="P22" s="31"/>
    </x:row>
    <x:row r="23">
      <x:c r="A23" s="31"/>
      <x:c r="B23" s="31"/>
      <x:c r="C23" s="31"/>
      <x:c r="D23" s="31"/>
      <x:c r="E23" s="42"/>
      <x:c r="F23" s="42"/>
      <x:c r="G23" s="31"/>
      <x:c r="H23" s="31"/>
      <x:c r="I23" s="31"/>
      <x:c r="J23" s="46"/>
      <x:c r="K23" s="31"/>
      <x:c r="L23" s="31"/>
      <x:c r="M23" s="31"/>
      <x:c r="N23" s="31"/>
      <x:c r="O23" s="31"/>
      <x:c r="P23" s="31"/>
    </x:row>
    <x:row r="24">
      <x:c r="A24" s="31"/>
      <x:c r="B24" s="31"/>
      <x:c r="C24" s="31"/>
      <x:c r="D24" s="31"/>
      <x:c r="E24" s="42"/>
      <x:c r="F24" s="42"/>
      <x:c r="G24" s="31"/>
      <x:c r="H24" s="31"/>
      <x:c r="I24" s="31"/>
      <x:c r="J24" s="46"/>
      <x:c r="K24" s="31"/>
      <x:c r="L24" s="31"/>
      <x:c r="M24" s="31"/>
      <x:c r="N24" s="31"/>
      <x:c r="O24" s="31"/>
      <x:c r="P24" s="31"/>
    </x:row>
    <x:row r="25">
      <x:c r="A25" s="31"/>
      <x:c r="B25" s="31"/>
      <x:c r="C25" s="31"/>
      <x:c r="D25" s="31"/>
      <x:c r="E25" s="42"/>
      <x:c r="F25" s="42"/>
      <x:c r="G25" s="31"/>
      <x:c r="H25" s="31"/>
      <x:c r="I25" s="31"/>
      <x:c r="J25" s="46"/>
      <x:c r="K25" s="31"/>
      <x:c r="L25" s="31"/>
      <x:c r="M25" s="31"/>
      <x:c r="N25" s="31"/>
      <x:c r="O25" s="31"/>
      <x:c r="P25" s="31"/>
    </x:row>
    <x:row r="26">
      <x:c r="A26" s="31"/>
      <x:c r="B26" s="31"/>
      <x:c r="C26" s="31"/>
      <x:c r="D26" s="31"/>
      <x:c r="E26" s="42"/>
      <x:c r="F26" s="42"/>
      <x:c r="G26" s="31"/>
      <x:c r="H26" s="31"/>
      <x:c r="I26" s="31"/>
      <x:c r="J26" s="46"/>
      <x:c r="K26" s="31"/>
      <x:c r="L26" s="31"/>
      <x:c r="M26" s="31"/>
      <x:c r="N26" s="31"/>
      <x:c r="O26" s="31"/>
      <x:c r="P26" s="31"/>
    </x:row>
    <x:row r="27">
      <x:c r="A27" s="31"/>
      <x:c r="B27" s="31"/>
      <x:c r="C27" s="31"/>
      <x:c r="D27" s="31"/>
      <x:c r="E27" s="42"/>
      <x:c r="F27" s="42"/>
      <x:c r="G27" s="31"/>
      <x:c r="H27" s="31"/>
      <x:c r="I27" s="31"/>
      <x:c r="J27" s="46"/>
      <x:c r="K27" s="31"/>
      <x:c r="L27" s="31"/>
      <x:c r="M27" s="31"/>
      <x:c r="N27" s="31"/>
      <x:c r="O27" s="31"/>
      <x:c r="P27" s="31"/>
    </x:row>
    <x:row r="28">
      <x:c r="A28" s="31"/>
      <x:c r="B28" s="31"/>
      <x:c r="C28" s="31"/>
      <x:c r="D28" s="31"/>
      <x:c r="E28" s="42"/>
      <x:c r="F28" s="42"/>
      <x:c r="G28" s="31"/>
      <x:c r="H28" s="31"/>
      <x:c r="I28" s="31"/>
      <x:c r="J28" s="46"/>
      <x:c r="K28" s="31"/>
      <x:c r="L28" s="31"/>
      <x:c r="M28" s="31"/>
      <x:c r="N28" s="31"/>
      <x:c r="O28" s="31"/>
      <x:c r="P28" s="31"/>
    </x:row>
    <x:row r="29">
      <x:c r="A29" s="31"/>
      <x:c r="B29" s="31"/>
      <x:c r="C29" s="31"/>
      <x:c r="D29" s="31"/>
      <x:c r="E29" s="42"/>
      <x:c r="F29" s="42"/>
      <x:c r="G29" s="31"/>
      <x:c r="H29" s="31"/>
      <x:c r="I29" s="31"/>
      <x:c r="J29" s="46"/>
      <x:c r="K29" s="31"/>
      <x:c r="L29" s="31"/>
      <x:c r="M29" s="31"/>
      <x:c r="N29" s="31"/>
      <x:c r="O29" s="31"/>
      <x:c r="P29" s="31"/>
    </x:row>
    <x:row r="30">
      <x:c r="A30" s="31"/>
      <x:c r="B30" s="31"/>
      <x:c r="C30" s="31"/>
      <x:c r="D30" s="31"/>
      <x:c r="E30" s="42"/>
      <x:c r="F30" s="42"/>
      <x:c r="G30" s="31"/>
      <x:c r="H30" s="31"/>
      <x:c r="I30" s="31"/>
      <x:c r="J30" s="46"/>
      <x:c r="K30" s="31"/>
      <x:c r="L30" s="31"/>
      <x:c r="M30" s="31"/>
      <x:c r="N30" s="31"/>
      <x:c r="O30" s="31"/>
      <x:c r="P30" s="31"/>
    </x:row>
    <x:row r="31">
      <x:c r="A31" s="31"/>
      <x:c r="B31" s="31"/>
      <x:c r="C31" s="31"/>
      <x:c r="D31" s="31"/>
      <x:c r="E31" s="42"/>
      <x:c r="F31" s="42"/>
      <x:c r="G31" s="31"/>
      <x:c r="H31" s="31"/>
      <x:c r="I31" s="31"/>
      <x:c r="J31" s="46"/>
      <x:c r="K31" s="31"/>
      <x:c r="L31" s="31"/>
      <x:c r="M31" s="31"/>
      <x:c r="N31" s="31"/>
      <x:c r="O31" s="31"/>
      <x:c r="P31" s="31"/>
    </x:row>
    <x:row r="32">
      <x:c r="A32" s="31"/>
      <x:c r="B32" s="31"/>
      <x:c r="C32" s="31"/>
      <x:c r="D32" s="31"/>
      <x:c r="E32" s="42"/>
      <x:c r="F32" s="42"/>
      <x:c r="G32" s="31"/>
      <x:c r="H32" s="31"/>
      <x:c r="I32" s="31"/>
      <x:c r="J32" s="46"/>
      <x:c r="K32" s="31"/>
      <x:c r="L32" s="31"/>
      <x:c r="M32" s="31"/>
      <x:c r="N32" s="31"/>
      <x:c r="O32" s="31"/>
      <x:c r="P32" s="31"/>
    </x:row>
    <x:row r="33">
      <x:c r="A33" s="31"/>
      <x:c r="B33" s="31"/>
      <x:c r="C33" s="31"/>
      <x:c r="D33" s="31"/>
      <x:c r="E33" s="42"/>
      <x:c r="F33" s="42"/>
      <x:c r="G33" s="31"/>
      <x:c r="H33" s="31"/>
      <x:c r="I33" s="31"/>
      <x:c r="J33" s="46"/>
      <x:c r="K33" s="31"/>
      <x:c r="L33" s="31"/>
      <x:c r="M33" s="31"/>
      <x:c r="N33" s="31"/>
      <x:c r="O33" s="31"/>
      <x:c r="P33" s="31"/>
    </x:row>
    <x:row r="34">
      <x:c r="A34" s="31"/>
      <x:c r="B34" s="31"/>
      <x:c r="C34" s="31"/>
      <x:c r="D34" s="31"/>
      <x:c r="E34" s="42"/>
      <x:c r="F34" s="42"/>
      <x:c r="G34" s="31"/>
      <x:c r="H34" s="31"/>
      <x:c r="I34" s="31"/>
      <x:c r="J34" s="46"/>
      <x:c r="K34" s="31"/>
      <x:c r="L34" s="31"/>
      <x:c r="M34" s="31"/>
      <x:c r="N34" s="31"/>
      <x:c r="O34" s="31"/>
      <x:c r="P34" s="31"/>
    </x:row>
    <x:row r="35">
      <x:c r="A35" s="31"/>
      <x:c r="B35" s="31"/>
      <x:c r="C35" s="31"/>
      <x:c r="D35" s="31"/>
      <x:c r="E35" s="42"/>
      <x:c r="F35" s="42"/>
      <x:c r="G35" s="31"/>
      <x:c r="H35" s="31"/>
      <x:c r="I35" s="31"/>
      <x:c r="J35" s="46"/>
      <x:c r="K35" s="31"/>
      <x:c r="L35" s="31"/>
      <x:c r="M35" s="31"/>
      <x:c r="N35" s="31"/>
      <x:c r="O35" s="31"/>
      <x:c r="P35" s="31"/>
    </x:row>
    <x:row r="36">
      <x:c r="A36" s="31"/>
      <x:c r="B36" s="31"/>
      <x:c r="C36" s="31"/>
      <x:c r="D36" s="31"/>
      <x:c r="E36" s="42"/>
      <x:c r="F36" s="42"/>
      <x:c r="G36" s="31"/>
      <x:c r="H36" s="31"/>
      <x:c r="I36" s="31"/>
      <x:c r="J36" s="46"/>
      <x:c r="K36" s="31"/>
      <x:c r="L36" s="31"/>
      <x:c r="M36" s="31"/>
      <x:c r="N36" s="31"/>
      <x:c r="O36" s="31"/>
      <x:c r="P36" s="31"/>
    </x:row>
    <x:row r="37">
      <x:c r="A37" s="31"/>
      <x:c r="B37" s="31"/>
      <x:c r="C37" s="31"/>
      <x:c r="D37" s="31"/>
      <x:c r="E37" s="42"/>
      <x:c r="F37" s="42"/>
      <x:c r="G37" s="31"/>
      <x:c r="H37" s="31"/>
      <x:c r="I37" s="31"/>
      <x:c r="J37" s="46"/>
      <x:c r="K37" s="31"/>
      <x:c r="L37" s="31"/>
      <x:c r="M37" s="31"/>
      <x:c r="N37" s="31"/>
      <x:c r="O37" s="31"/>
      <x:c r="P37" s="31"/>
    </x:row>
    <x:row r="38">
      <x:c r="A38" s="31"/>
      <x:c r="B38" s="31"/>
      <x:c r="C38" s="31"/>
      <x:c r="D38" s="31"/>
      <x:c r="E38" s="42"/>
      <x:c r="F38" s="42"/>
      <x:c r="G38" s="31"/>
      <x:c r="H38" s="31"/>
      <x:c r="I38" s="31"/>
      <x:c r="J38" s="46"/>
      <x:c r="K38" s="31"/>
      <x:c r="L38" s="31"/>
      <x:c r="M38" s="31"/>
      <x:c r="N38" s="31"/>
      <x:c r="O38" s="31"/>
      <x:c r="P38" s="31"/>
    </x:row>
    <x:row r="39">
      <x:c r="A39" s="31"/>
      <x:c r="B39" s="31"/>
      <x:c r="C39" s="31"/>
      <x:c r="D39" s="31"/>
      <x:c r="E39" s="42"/>
      <x:c r="F39" s="42"/>
      <x:c r="G39" s="31"/>
      <x:c r="H39" s="31"/>
      <x:c r="I39" s="31"/>
      <x:c r="J39" s="46"/>
      <x:c r="K39" s="31"/>
      <x:c r="L39" s="31"/>
      <x:c r="M39" s="31"/>
      <x:c r="N39" s="31"/>
      <x:c r="O39" s="31"/>
      <x:c r="P39" s="31"/>
    </x:row>
    <x:row r="40">
      <x:c r="A40" s="31"/>
      <x:c r="B40" s="31"/>
      <x:c r="C40" s="31"/>
      <x:c r="D40" s="31"/>
      <x:c r="E40" s="42"/>
      <x:c r="F40" s="42"/>
      <x:c r="G40" s="31"/>
      <x:c r="H40" s="31"/>
      <x:c r="I40" s="31"/>
      <x:c r="J40" s="46"/>
      <x:c r="K40" s="31"/>
      <x:c r="L40" s="31"/>
      <x:c r="M40" s="31"/>
      <x:c r="N40" s="31"/>
      <x:c r="O40" s="31"/>
      <x:c r="P40" s="31"/>
    </x:row>
    <x:row r="41">
      <x:c r="A41" s="31"/>
      <x:c r="B41" s="31"/>
      <x:c r="C41" s="31"/>
      <x:c r="D41" s="31"/>
      <x:c r="E41" s="42"/>
      <x:c r="F41" s="42"/>
      <x:c r="G41" s="31"/>
      <x:c r="H41" s="31"/>
      <x:c r="I41" s="31"/>
      <x:c r="J41" s="46"/>
      <x:c r="K41" s="31"/>
      <x:c r="L41" s="31"/>
      <x:c r="M41" s="31"/>
      <x:c r="N41" s="31"/>
      <x:c r="O41" s="31"/>
      <x:c r="P41" s="31"/>
    </x:row>
    <x:row r="42">
      <x:c r="A42" s="31"/>
      <x:c r="B42" s="31"/>
      <x:c r="C42" s="31"/>
      <x:c r="D42" s="31"/>
      <x:c r="E42" s="42"/>
      <x:c r="F42" s="42"/>
      <x:c r="G42" s="31"/>
      <x:c r="H42" s="31"/>
      <x:c r="I42" s="31"/>
      <x:c r="J42" s="46"/>
      <x:c r="K42" s="31"/>
      <x:c r="L42" s="31"/>
      <x:c r="M42" s="31"/>
      <x:c r="N42" s="31"/>
      <x:c r="O42" s="31"/>
      <x:c r="P42" s="31"/>
    </x:row>
    <x:row r="43">
      <x:c r="A43" s="31"/>
      <x:c r="B43" s="31"/>
      <x:c r="C43" s="31"/>
      <x:c r="D43" s="31"/>
      <x:c r="E43" s="42"/>
      <x:c r="F43" s="42"/>
      <x:c r="G43" s="31"/>
      <x:c r="H43" s="31"/>
      <x:c r="I43" s="31"/>
      <x:c r="J43" s="46"/>
      <x:c r="K43" s="31"/>
      <x:c r="L43" s="31"/>
      <x:c r="M43" s="31"/>
      <x:c r="N43" s="31"/>
      <x:c r="O43" s="31"/>
      <x:c r="P43" s="31"/>
    </x:row>
    <x:row r="44">
      <x:c r="A44" s="31"/>
      <x:c r="B44" s="31"/>
      <x:c r="C44" s="31"/>
      <x:c r="D44" s="31"/>
      <x:c r="E44" s="42"/>
      <x:c r="F44" s="42"/>
      <x:c r="G44" s="31"/>
      <x:c r="H44" s="31"/>
      <x:c r="I44" s="31"/>
      <x:c r="J44" s="46"/>
      <x:c r="K44" s="31"/>
      <x:c r="L44" s="31"/>
      <x:c r="M44" s="31"/>
      <x:c r="N44" s="31"/>
      <x:c r="O44" s="31"/>
      <x:c r="P44" s="31"/>
    </x:row>
    <x:row r="45">
      <x:c r="A45" s="31"/>
      <x:c r="B45" s="31"/>
      <x:c r="C45" s="31"/>
      <x:c r="D45" s="31"/>
      <x:c r="E45" s="42"/>
      <x:c r="F45" s="42"/>
      <x:c r="G45" s="31"/>
      <x:c r="H45" s="31"/>
      <x:c r="I45" s="31"/>
      <x:c r="J45" s="46"/>
      <x:c r="K45" s="31"/>
      <x:c r="L45" s="31"/>
      <x:c r="M45" s="31"/>
      <x:c r="N45" s="31"/>
      <x:c r="O45" s="31"/>
      <x:c r="P45" s="31"/>
    </x:row>
    <x:row r="46">
      <x:c r="A46" s="31"/>
      <x:c r="B46" s="31"/>
      <x:c r="C46" s="31"/>
      <x:c r="D46" s="31"/>
      <x:c r="E46" s="42"/>
      <x:c r="F46" s="42"/>
      <x:c r="G46" s="31"/>
      <x:c r="H46" s="31"/>
      <x:c r="I46" s="31"/>
      <x:c r="J46" s="46"/>
      <x:c r="K46" s="31"/>
      <x:c r="L46" s="31"/>
      <x:c r="M46" s="31"/>
      <x:c r="N46" s="31"/>
      <x:c r="O46" s="31"/>
      <x:c r="P46" s="31"/>
    </x:row>
    <x:row r="47">
      <x:c r="A47" s="31"/>
      <x:c r="B47" s="31"/>
      <x:c r="C47" s="31"/>
      <x:c r="D47" s="31"/>
      <x:c r="E47" s="42"/>
      <x:c r="F47" s="42"/>
      <x:c r="G47" s="31"/>
      <x:c r="H47" s="31"/>
      <x:c r="I47" s="31"/>
      <x:c r="J47" s="46"/>
      <x:c r="K47" s="31"/>
      <x:c r="L47" s="31"/>
      <x:c r="M47" s="31"/>
      <x:c r="N47" s="31"/>
      <x:c r="O47" s="31"/>
      <x:c r="P47" s="31"/>
    </x:row>
    <x:row r="48">
      <x:c r="A48" s="31"/>
      <x:c r="B48" s="31"/>
      <x:c r="C48" s="31"/>
      <x:c r="D48" s="31"/>
      <x:c r="E48" s="42"/>
      <x:c r="F48" s="42"/>
      <x:c r="G48" s="31"/>
      <x:c r="H48" s="31"/>
      <x:c r="I48" s="31"/>
      <x:c r="J48" s="46"/>
      <x:c r="K48" s="31"/>
      <x:c r="L48" s="31"/>
      <x:c r="M48" s="31"/>
      <x:c r="N48" s="31"/>
      <x:c r="O48" s="31"/>
      <x:c r="P48" s="31"/>
    </x:row>
    <x:row r="49">
      <x:c r="A49" s="31"/>
      <x:c r="B49" s="31"/>
      <x:c r="C49" s="31"/>
      <x:c r="D49" s="31"/>
      <x:c r="E49" s="42"/>
      <x:c r="F49" s="42"/>
      <x:c r="G49" s="31"/>
      <x:c r="H49" s="31"/>
      <x:c r="I49" s="31"/>
      <x:c r="J49" s="46"/>
      <x:c r="K49" s="31"/>
      <x:c r="L49" s="31"/>
      <x:c r="M49" s="31"/>
      <x:c r="N49" s="31"/>
      <x:c r="O49" s="31"/>
      <x:c r="P49" s="31"/>
    </x:row>
    <x:row r="50">
      <x:c r="A50" s="31"/>
      <x:c r="B50" s="31"/>
      <x:c r="C50" s="31"/>
      <x:c r="D50" s="31"/>
      <x:c r="E50" s="42"/>
      <x:c r="F50" s="42"/>
      <x:c r="G50" s="31"/>
      <x:c r="H50" s="31"/>
      <x:c r="I50" s="31"/>
      <x:c r="J50" s="46"/>
      <x:c r="K50" s="31"/>
      <x:c r="L50" s="31"/>
      <x:c r="M50" s="31"/>
      <x:c r="N50" s="31"/>
      <x:c r="O50" s="31"/>
      <x:c r="P50" s="31"/>
    </x:row>
    <x:row r="51">
      <x:c r="A51" s="31"/>
      <x:c r="B51" s="31"/>
      <x:c r="C51" s="31"/>
      <x:c r="D51" s="31"/>
      <x:c r="E51" s="42"/>
      <x:c r="F51" s="42"/>
      <x:c r="G51" s="31"/>
      <x:c r="H51" s="31"/>
      <x:c r="I51" s="31"/>
      <x:c r="J51" s="46"/>
      <x:c r="K51" s="31"/>
      <x:c r="L51" s="31"/>
      <x:c r="M51" s="31"/>
      <x:c r="N51" s="31"/>
      <x:c r="O51" s="31"/>
      <x:c r="P51" s="31"/>
    </x:row>
    <x:row r="52">
      <x:c r="A52" s="31"/>
      <x:c r="B52" s="31"/>
      <x:c r="C52" s="31"/>
      <x:c r="D52" s="31"/>
      <x:c r="E52" s="42"/>
      <x:c r="F52" s="42"/>
      <x:c r="G52" s="31"/>
      <x:c r="H52" s="31"/>
      <x:c r="I52" s="31"/>
      <x:c r="J52" s="46"/>
      <x:c r="K52" s="31"/>
      <x:c r="L52" s="31"/>
      <x:c r="M52" s="31"/>
      <x:c r="N52" s="31"/>
      <x:c r="O52" s="31"/>
      <x:c r="P52" s="31"/>
    </x:row>
    <x:row r="53">
      <x:c r="A53" s="31"/>
      <x:c r="B53" s="31"/>
      <x:c r="C53" s="31"/>
      <x:c r="D53" s="31"/>
      <x:c r="E53" s="42"/>
      <x:c r="F53" s="42"/>
      <x:c r="G53" s="31"/>
      <x:c r="H53" s="31"/>
      <x:c r="I53" s="31"/>
      <x:c r="J53" s="46"/>
      <x:c r="K53" s="31"/>
      <x:c r="L53" s="31"/>
      <x:c r="M53" s="31"/>
      <x:c r="N53" s="31"/>
      <x:c r="O53" s="31"/>
      <x:c r="P53" s="31"/>
    </x:row>
    <x:row r="54">
      <x:c r="A54" s="31"/>
      <x:c r="B54" s="31"/>
      <x:c r="C54" s="31"/>
      <x:c r="D54" s="31"/>
      <x:c r="E54" s="42"/>
      <x:c r="F54" s="42"/>
      <x:c r="G54" s="31"/>
      <x:c r="H54" s="31"/>
      <x:c r="I54" s="31"/>
      <x:c r="J54" s="46"/>
      <x:c r="K54" s="31"/>
      <x:c r="L54" s="31"/>
      <x:c r="M54" s="31"/>
      <x:c r="N54" s="31"/>
      <x:c r="O54" s="31"/>
      <x:c r="P54" s="31"/>
    </x:row>
    <x:row r="55">
      <x:c r="A55" s="31"/>
      <x:c r="B55" s="31"/>
      <x:c r="C55" s="31"/>
      <x:c r="D55" s="31"/>
      <x:c r="E55" s="42"/>
      <x:c r="F55" s="42"/>
      <x:c r="G55" s="31"/>
      <x:c r="H55" s="31"/>
      <x:c r="I55" s="31"/>
      <x:c r="J55" s="46"/>
      <x:c r="K55" s="31"/>
      <x:c r="L55" s="31"/>
      <x:c r="M55" s="31"/>
      <x:c r="N55" s="31"/>
      <x:c r="O55" s="31"/>
      <x:c r="P55" s="31"/>
    </x:row>
    <x:row r="56">
      <x:c r="A56" s="31"/>
      <x:c r="B56" s="31"/>
      <x:c r="C56" s="31"/>
      <x:c r="D56" s="31"/>
      <x:c r="E56" s="42"/>
      <x:c r="F56" s="42"/>
      <x:c r="G56" s="31"/>
      <x:c r="H56" s="31"/>
      <x:c r="I56" s="31"/>
      <x:c r="J56" s="46"/>
      <x:c r="K56" s="31"/>
      <x:c r="L56" s="31"/>
      <x:c r="M56" s="31"/>
      <x:c r="N56" s="31"/>
      <x:c r="O56" s="31"/>
      <x:c r="P56" s="31"/>
    </x:row>
    <x:row r="57">
      <x:c r="A57" s="31"/>
      <x:c r="B57" s="31"/>
      <x:c r="C57" s="31"/>
      <x:c r="D57" s="31"/>
      <x:c r="E57" s="42"/>
      <x:c r="F57" s="42"/>
      <x:c r="G57" s="31"/>
      <x:c r="H57" s="31"/>
      <x:c r="I57" s="31"/>
      <x:c r="J57" s="46"/>
      <x:c r="K57" s="31"/>
      <x:c r="L57" s="31"/>
      <x:c r="M57" s="31"/>
      <x:c r="N57" s="31"/>
      <x:c r="O57" s="31"/>
      <x:c r="P57" s="31"/>
    </x:row>
    <x:row r="58">
      <x:c r="A58" s="31"/>
      <x:c r="B58" s="31"/>
      <x:c r="C58" s="31"/>
      <x:c r="D58" s="31"/>
      <x:c r="E58" s="42"/>
      <x:c r="F58" s="42"/>
      <x:c r="G58" s="31"/>
      <x:c r="H58" s="31"/>
      <x:c r="I58" s="31"/>
      <x:c r="J58" s="46"/>
      <x:c r="K58" s="31"/>
      <x:c r="L58" s="31"/>
      <x:c r="M58" s="31"/>
      <x:c r="N58" s="31"/>
      <x:c r="O58" s="31"/>
      <x:c r="P58" s="31"/>
    </x:row>
    <x:row r="59">
      <x:c r="A59" s="31"/>
      <x:c r="B59" s="31"/>
      <x:c r="C59" s="31"/>
      <x:c r="D59" s="31"/>
      <x:c r="E59" s="42"/>
      <x:c r="F59" s="42"/>
      <x:c r="G59" s="31"/>
      <x:c r="H59" s="31"/>
      <x:c r="I59" s="31"/>
      <x:c r="J59" s="46"/>
      <x:c r="K59" s="31"/>
      <x:c r="L59" s="31"/>
      <x:c r="M59" s="31"/>
      <x:c r="N59" s="31"/>
      <x:c r="O59" s="31"/>
      <x:c r="P59" s="31"/>
    </x:row>
    <x:row r="60">
      <x:c r="A60" s="31"/>
      <x:c r="B60" s="31"/>
      <x:c r="C60" s="31"/>
      <x:c r="D60" s="31"/>
      <x:c r="E60" s="42"/>
      <x:c r="F60" s="42"/>
      <x:c r="G60" s="31"/>
      <x:c r="H60" s="31"/>
      <x:c r="I60" s="31"/>
      <x:c r="J60" s="46"/>
      <x:c r="K60" s="31"/>
      <x:c r="L60" s="31"/>
      <x:c r="M60" s="31"/>
      <x:c r="N60" s="31"/>
      <x:c r="O60" s="31"/>
      <x:c r="P60" s="31"/>
    </x:row>
    <x:row r="61">
      <x:c r="A61" s="31"/>
      <x:c r="B61" s="31"/>
      <x:c r="C61" s="31"/>
      <x:c r="D61" s="31"/>
      <x:c r="E61" s="42"/>
      <x:c r="F61" s="42"/>
      <x:c r="G61" s="31"/>
      <x:c r="H61" s="31"/>
      <x:c r="I61" s="31"/>
      <x:c r="J61" s="46"/>
      <x:c r="K61" s="31"/>
      <x:c r="L61" s="31"/>
      <x:c r="M61" s="31"/>
      <x:c r="N61" s="31"/>
      <x:c r="O61" s="31"/>
      <x:c r="P61" s="31"/>
    </x:row>
    <x:row r="62">
      <x:c r="A62" s="31"/>
      <x:c r="B62" s="31"/>
      <x:c r="C62" s="31"/>
      <x:c r="D62" s="31"/>
      <x:c r="E62" s="42"/>
      <x:c r="F62" s="42"/>
      <x:c r="G62" s="31"/>
      <x:c r="H62" s="31"/>
      <x:c r="I62" s="31"/>
      <x:c r="J62" s="46"/>
      <x:c r="K62" s="31"/>
      <x:c r="L62" s="31"/>
      <x:c r="M62" s="31"/>
      <x:c r="N62" s="31"/>
      <x:c r="O62" s="31"/>
      <x:c r="P62" s="31"/>
    </x:row>
    <x:row r="63">
      <x:c r="A63" s="31"/>
      <x:c r="B63" s="31"/>
      <x:c r="C63" s="31"/>
      <x:c r="D63" s="31"/>
      <x:c r="E63" s="42"/>
      <x:c r="F63" s="42"/>
      <x:c r="G63" s="31"/>
      <x:c r="H63" s="31"/>
      <x:c r="I63" s="31"/>
      <x:c r="J63" s="46"/>
      <x:c r="K63" s="31"/>
      <x:c r="L63" s="31"/>
      <x:c r="M63" s="31"/>
      <x:c r="N63" s="31"/>
      <x:c r="O63" s="31"/>
      <x:c r="P63" s="31"/>
    </x:row>
    <x:row r="64">
      <x:c r="A64" s="31"/>
      <x:c r="B64" s="31"/>
      <x:c r="C64" s="31"/>
      <x:c r="D64" s="31"/>
      <x:c r="E64" s="42"/>
      <x:c r="F64" s="42"/>
      <x:c r="G64" s="31"/>
      <x:c r="H64" s="31"/>
      <x:c r="I64" s="31"/>
      <x:c r="J64" s="46"/>
      <x:c r="K64" s="31"/>
      <x:c r="L64" s="31"/>
      <x:c r="M64" s="31"/>
      <x:c r="N64" s="31"/>
      <x:c r="O64" s="31"/>
      <x:c r="P64" s="31"/>
    </x:row>
    <x:row r="65">
      <x:c r="A65" s="31"/>
      <x:c r="B65" s="31"/>
      <x:c r="C65" s="31"/>
      <x:c r="D65" s="31"/>
      <x:c r="E65" s="42"/>
      <x:c r="F65" s="42"/>
      <x:c r="G65" s="31"/>
      <x:c r="H65" s="31"/>
      <x:c r="I65" s="31"/>
      <x:c r="J65" s="46"/>
      <x:c r="K65" s="31"/>
      <x:c r="L65" s="31"/>
      <x:c r="M65" s="31"/>
      <x:c r="N65" s="31"/>
      <x:c r="O65" s="31"/>
      <x:c r="P65" s="31"/>
    </x:row>
    <x:row r="66">
      <x:c r="A66" s="31"/>
      <x:c r="B66" s="31"/>
      <x:c r="C66" s="31"/>
      <x:c r="D66" s="31"/>
      <x:c r="E66" s="42"/>
      <x:c r="F66" s="42"/>
      <x:c r="G66" s="31"/>
      <x:c r="H66" s="31"/>
      <x:c r="I66" s="31"/>
      <x:c r="J66" s="46"/>
      <x:c r="K66" s="31"/>
      <x:c r="L66" s="31"/>
      <x:c r="M66" s="31"/>
      <x:c r="N66" s="31"/>
      <x:c r="O66" s="31"/>
      <x:c r="P66" s="31"/>
    </x:row>
    <x:row r="67">
      <x:c r="A67" s="31"/>
      <x:c r="B67" s="31"/>
      <x:c r="C67" s="31"/>
      <x:c r="D67" s="31"/>
      <x:c r="E67" s="42"/>
      <x:c r="F67" s="42"/>
      <x:c r="G67" s="31"/>
      <x:c r="H67" s="31"/>
      <x:c r="I67" s="31"/>
      <x:c r="J67" s="46"/>
      <x:c r="K67" s="31"/>
      <x:c r="L67" s="31"/>
      <x:c r="M67" s="31"/>
      <x:c r="N67" s="31"/>
      <x:c r="O67" s="31"/>
      <x:c r="P67" s="31"/>
    </x:row>
    <x:row r="68">
      <x:c r="A68" s="31"/>
      <x:c r="B68" s="31"/>
      <x:c r="C68" s="31"/>
      <x:c r="D68" s="31"/>
      <x:c r="E68" s="42"/>
      <x:c r="F68" s="42"/>
      <x:c r="G68" s="31"/>
      <x:c r="H68" s="31"/>
      <x:c r="I68" s="31"/>
      <x:c r="J68" s="46"/>
      <x:c r="K68" s="31"/>
      <x:c r="L68" s="31"/>
      <x:c r="M68" s="31"/>
      <x:c r="N68" s="31"/>
      <x:c r="O68" s="31"/>
      <x:c r="P68" s="31"/>
    </x:row>
    <x:row r="69">
      <x:c r="A69" s="31"/>
      <x:c r="B69" s="31"/>
      <x:c r="C69" s="31"/>
      <x:c r="D69" s="31"/>
      <x:c r="E69" s="42"/>
      <x:c r="F69" s="42"/>
      <x:c r="G69" s="31"/>
      <x:c r="H69" s="31"/>
      <x:c r="I69" s="31"/>
      <x:c r="J69" s="46"/>
      <x:c r="K69" s="31"/>
      <x:c r="L69" s="31"/>
      <x:c r="M69" s="31"/>
      <x:c r="N69" s="31"/>
      <x:c r="O69" s="31"/>
      <x:c r="P69" s="31"/>
    </x:row>
    <x:row r="70">
      <x:c r="A70" s="31"/>
      <x:c r="B70" s="31"/>
      <x:c r="C70" s="31"/>
      <x:c r="D70" s="31"/>
      <x:c r="E70" s="42"/>
      <x:c r="F70" s="42"/>
      <x:c r="G70" s="31"/>
      <x:c r="H70" s="31"/>
      <x:c r="I70" s="31"/>
      <x:c r="J70" s="46"/>
      <x:c r="K70" s="31"/>
      <x:c r="L70" s="31"/>
      <x:c r="M70" s="31"/>
      <x:c r="N70" s="31"/>
      <x:c r="O70" s="31"/>
      <x:c r="P70" s="31"/>
    </x:row>
    <x:row r="71">
      <x:c r="A71" s="31"/>
      <x:c r="B71" s="31"/>
      <x:c r="C71" s="31"/>
      <x:c r="D71" s="31"/>
      <x:c r="E71" s="42"/>
      <x:c r="F71" s="42"/>
      <x:c r="G71" s="31"/>
      <x:c r="H71" s="31"/>
      <x:c r="I71" s="31"/>
      <x:c r="J71" s="46"/>
      <x:c r="K71" s="31"/>
      <x:c r="L71" s="31"/>
      <x:c r="M71" s="31"/>
      <x:c r="N71" s="31"/>
      <x:c r="O71" s="31"/>
      <x:c r="P71" s="31"/>
    </x:row>
    <x:row r="72">
      <x:c r="A72" s="31"/>
      <x:c r="B72" s="31"/>
      <x:c r="C72" s="31"/>
      <x:c r="D72" s="31"/>
      <x:c r="E72" s="42"/>
      <x:c r="F72" s="42"/>
      <x:c r="G72" s="31"/>
      <x:c r="H72" s="31"/>
      <x:c r="I72" s="31"/>
      <x:c r="J72" s="46"/>
      <x:c r="K72" s="31"/>
      <x:c r="L72" s="31"/>
      <x:c r="M72" s="31"/>
      <x:c r="N72" s="31"/>
      <x:c r="O72" s="31"/>
      <x:c r="P72" s="31"/>
    </x:row>
    <x:row r="73">
      <x:c r="A73" s="31"/>
      <x:c r="B73" s="31"/>
      <x:c r="C73" s="31"/>
      <x:c r="D73" s="31"/>
      <x:c r="E73" s="42"/>
      <x:c r="F73" s="42"/>
      <x:c r="G73" s="31"/>
      <x:c r="H73" s="31"/>
      <x:c r="I73" s="31"/>
      <x:c r="J73" s="46"/>
      <x:c r="K73" s="31"/>
      <x:c r="L73" s="31"/>
      <x:c r="M73" s="31"/>
      <x:c r="N73" s="31"/>
      <x:c r="O73" s="31"/>
      <x:c r="P73" s="31"/>
    </x:row>
    <x:row r="74">
      <x:c r="A74" s="31"/>
      <x:c r="B74" s="31"/>
      <x:c r="C74" s="31"/>
      <x:c r="D74" s="31"/>
      <x:c r="E74" s="42"/>
      <x:c r="F74" s="42"/>
      <x:c r="G74" s="31"/>
      <x:c r="H74" s="31"/>
      <x:c r="I74" s="31"/>
      <x:c r="J74" s="46"/>
      <x:c r="K74" s="31"/>
      <x:c r="L74" s="31"/>
      <x:c r="M74" s="31"/>
      <x:c r="N74" s="31"/>
      <x:c r="O74" s="31"/>
      <x:c r="P74" s="31"/>
    </x:row>
    <x:row r="75">
      <x:c r="A75" s="31"/>
      <x:c r="B75" s="31"/>
      <x:c r="C75" s="31"/>
      <x:c r="D75" s="31"/>
      <x:c r="E75" s="42"/>
      <x:c r="F75" s="42"/>
      <x:c r="G75" s="31"/>
      <x:c r="H75" s="31"/>
      <x:c r="I75" s="31"/>
      <x:c r="J75" s="46"/>
      <x:c r="K75" s="31"/>
      <x:c r="L75" s="31"/>
      <x:c r="M75" s="31"/>
      <x:c r="N75" s="31"/>
      <x:c r="O75" s="31"/>
      <x:c r="P75" s="31"/>
    </x:row>
    <x:row r="76">
      <x:c r="A76" s="31"/>
      <x:c r="B76" s="31"/>
      <x:c r="C76" s="31"/>
      <x:c r="D76" s="31"/>
      <x:c r="E76" s="42"/>
      <x:c r="F76" s="42"/>
      <x:c r="G76" s="31"/>
      <x:c r="H76" s="31"/>
      <x:c r="I76" s="31"/>
      <x:c r="J76" s="46"/>
      <x:c r="K76" s="31"/>
      <x:c r="L76" s="31"/>
      <x:c r="M76" s="31"/>
      <x:c r="N76" s="31"/>
      <x:c r="O76" s="31"/>
      <x:c r="P76" s="31"/>
    </x:row>
    <x:row r="77">
      <x:c r="A77" s="31"/>
      <x:c r="B77" s="31"/>
      <x:c r="C77" s="31"/>
      <x:c r="D77" s="31"/>
      <x:c r="E77" s="42"/>
      <x:c r="F77" s="42"/>
      <x:c r="G77" s="31"/>
      <x:c r="H77" s="31"/>
      <x:c r="I77" s="31"/>
      <x:c r="J77" s="46"/>
      <x:c r="K77" s="31"/>
      <x:c r="L77" s="31"/>
      <x:c r="M77" s="31"/>
      <x:c r="N77" s="31"/>
      <x:c r="O77" s="31"/>
      <x:c r="P77" s="31"/>
    </x:row>
    <x:row r="78">
      <x:c r="A78" s="31"/>
      <x:c r="B78" s="31"/>
      <x:c r="C78" s="31"/>
      <x:c r="D78" s="31"/>
      <x:c r="E78" s="42"/>
      <x:c r="F78" s="42"/>
      <x:c r="G78" s="31"/>
      <x:c r="H78" s="31"/>
      <x:c r="I78" s="31"/>
      <x:c r="J78" s="46"/>
      <x:c r="K78" s="31"/>
      <x:c r="L78" s="31"/>
      <x:c r="M78" s="31"/>
      <x:c r="N78" s="31"/>
      <x:c r="O78" s="31"/>
      <x:c r="P78" s="31"/>
    </x:row>
    <x:row r="79">
      <x:c r="A79" s="31"/>
      <x:c r="B79" s="31"/>
      <x:c r="C79" s="31"/>
      <x:c r="D79" s="31"/>
      <x:c r="E79" s="42"/>
      <x:c r="F79" s="42"/>
      <x:c r="G79" s="31"/>
      <x:c r="H79" s="31"/>
      <x:c r="I79" s="31"/>
      <x:c r="J79" s="46"/>
      <x:c r="K79" s="31"/>
      <x:c r="L79" s="31"/>
      <x:c r="M79" s="31"/>
      <x:c r="N79" s="31"/>
      <x:c r="O79" s="31"/>
      <x:c r="P79" s="31"/>
    </x:row>
    <x:row r="80">
      <x:c r="A80" s="31"/>
      <x:c r="B80" s="31"/>
      <x:c r="C80" s="31"/>
      <x:c r="D80" s="31"/>
      <x:c r="E80" s="42"/>
      <x:c r="F80" s="42"/>
      <x:c r="G80" s="31"/>
      <x:c r="H80" s="31"/>
      <x:c r="I80" s="31"/>
      <x:c r="J80" s="46"/>
      <x:c r="K80" s="31"/>
      <x:c r="L80" s="31"/>
      <x:c r="M80" s="31"/>
      <x:c r="N80" s="31"/>
      <x:c r="O80" s="31"/>
      <x:c r="P80" s="31"/>
    </x:row>
    <x:row r="81">
      <x:c r="A81" s="31"/>
      <x:c r="B81" s="31"/>
      <x:c r="C81" s="31"/>
      <x:c r="D81" s="31"/>
      <x:c r="E81" s="42"/>
      <x:c r="F81" s="42"/>
      <x:c r="G81" s="31"/>
      <x:c r="H81" s="31"/>
      <x:c r="I81" s="31"/>
      <x:c r="J81" s="46"/>
      <x:c r="K81" s="31"/>
      <x:c r="L81" s="31"/>
      <x:c r="M81" s="31"/>
      <x:c r="N81" s="31"/>
      <x:c r="O81" s="31"/>
      <x:c r="P81" s="31"/>
    </x:row>
    <x:row r="82">
      <x:c r="A82" s="31"/>
      <x:c r="B82" s="31"/>
      <x:c r="C82" s="31"/>
      <x:c r="D82" s="31"/>
      <x:c r="E82" s="42"/>
      <x:c r="F82" s="42"/>
      <x:c r="G82" s="31"/>
      <x:c r="H82" s="31"/>
      <x:c r="I82" s="31"/>
      <x:c r="J82" s="46"/>
      <x:c r="K82" s="31"/>
      <x:c r="L82" s="31"/>
      <x:c r="M82" s="31"/>
      <x:c r="N82" s="31"/>
      <x:c r="O82" s="31"/>
      <x:c r="P82" s="31"/>
    </x:row>
    <x:row r="83">
      <x:c r="A83" s="31"/>
      <x:c r="B83" s="31"/>
      <x:c r="C83" s="31"/>
      <x:c r="D83" s="31"/>
      <x:c r="E83" s="42"/>
      <x:c r="F83" s="42"/>
      <x:c r="G83" s="31"/>
      <x:c r="H83" s="31"/>
      <x:c r="I83" s="31"/>
      <x:c r="J83" s="46"/>
      <x:c r="K83" s="31"/>
      <x:c r="L83" s="31"/>
      <x:c r="M83" s="31"/>
      <x:c r="N83" s="31"/>
      <x:c r="O83" s="31"/>
      <x:c r="P83" s="31"/>
    </x:row>
    <x:row r="84">
      <x:c r="A84" s="31"/>
      <x:c r="B84" s="31"/>
      <x:c r="C84" s="31"/>
      <x:c r="D84" s="31"/>
      <x:c r="E84" s="42"/>
      <x:c r="F84" s="42"/>
      <x:c r="G84" s="31"/>
      <x:c r="H84" s="31"/>
      <x:c r="I84" s="31"/>
      <x:c r="J84" s="46"/>
      <x:c r="K84" s="31"/>
      <x:c r="L84" s="31"/>
      <x:c r="M84" s="31"/>
      <x:c r="N84" s="31"/>
      <x:c r="O84" s="31"/>
      <x:c r="P84" s="31"/>
    </x:row>
    <x:row r="85">
      <x:c r="A85" s="31"/>
      <x:c r="B85" s="31"/>
      <x:c r="C85" s="31"/>
      <x:c r="D85" s="31"/>
      <x:c r="E85" s="42"/>
      <x:c r="F85" s="42"/>
      <x:c r="G85" s="31"/>
      <x:c r="H85" s="31"/>
      <x:c r="I85" s="31"/>
      <x:c r="J85" s="46"/>
      <x:c r="K85" s="31"/>
      <x:c r="L85" s="31"/>
      <x:c r="M85" s="31"/>
      <x:c r="N85" s="31"/>
      <x:c r="O85" s="31"/>
      <x:c r="P85" s="31"/>
    </x:row>
    <x:row r="86">
      <x:c r="A86" s="31"/>
      <x:c r="B86" s="31"/>
      <x:c r="C86" s="31"/>
      <x:c r="D86" s="31"/>
      <x:c r="E86" s="42"/>
      <x:c r="F86" s="42"/>
      <x:c r="G86" s="31"/>
      <x:c r="H86" s="31"/>
      <x:c r="I86" s="31"/>
      <x:c r="J86" s="46"/>
      <x:c r="K86" s="31"/>
      <x:c r="L86" s="31"/>
      <x:c r="M86" s="31"/>
      <x:c r="N86" s="31"/>
      <x:c r="O86" s="31"/>
      <x:c r="P86" s="31"/>
    </x:row>
    <x:row r="87">
      <x:c r="A87" s="31"/>
      <x:c r="B87" s="31"/>
      <x:c r="C87" s="31"/>
      <x:c r="D87" s="31"/>
      <x:c r="E87" s="42"/>
      <x:c r="F87" s="42"/>
      <x:c r="G87" s="31"/>
      <x:c r="H87" s="31"/>
      <x:c r="I87" s="31"/>
      <x:c r="J87" s="46"/>
      <x:c r="K87" s="31"/>
      <x:c r="L87" s="31"/>
      <x:c r="M87" s="31"/>
      <x:c r="N87" s="31"/>
      <x:c r="O87" s="31"/>
      <x:c r="P87" s="31"/>
    </x:row>
    <x:row r="88">
      <x:c r="A88" s="31"/>
      <x:c r="B88" s="31"/>
      <x:c r="C88" s="31"/>
      <x:c r="D88" s="31"/>
      <x:c r="E88" s="42"/>
      <x:c r="F88" s="42"/>
      <x:c r="G88" s="31"/>
      <x:c r="H88" s="31"/>
      <x:c r="I88" s="31"/>
      <x:c r="J88" s="46"/>
      <x:c r="K88" s="31"/>
      <x:c r="L88" s="31"/>
      <x:c r="M88" s="31"/>
      <x:c r="N88" s="31"/>
      <x:c r="O88" s="31"/>
      <x:c r="P88" s="31"/>
    </x:row>
    <x:row r="89">
      <x:c r="A89" s="31"/>
      <x:c r="B89" s="31"/>
      <x:c r="C89" s="31"/>
      <x:c r="D89" s="31"/>
      <x:c r="E89" s="42"/>
      <x:c r="F89" s="42"/>
      <x:c r="G89" s="31"/>
      <x:c r="H89" s="31"/>
      <x:c r="I89" s="31"/>
      <x:c r="J89" s="46"/>
      <x:c r="K89" s="31"/>
      <x:c r="L89" s="31"/>
      <x:c r="M89" s="31"/>
      <x:c r="N89" s="31"/>
      <x:c r="O89" s="31"/>
      <x:c r="P89" s="31"/>
    </x:row>
    <x:row r="90">
      <x:c r="A90" s="31"/>
      <x:c r="B90" s="31"/>
      <x:c r="C90" s="31"/>
      <x:c r="D90" s="31"/>
      <x:c r="E90" s="42"/>
      <x:c r="F90" s="42"/>
      <x:c r="G90" s="31"/>
      <x:c r="H90" s="31"/>
      <x:c r="I90" s="31"/>
      <x:c r="J90" s="46"/>
      <x:c r="K90" s="31"/>
      <x:c r="L90" s="31"/>
      <x:c r="M90" s="31"/>
      <x:c r="N90" s="31"/>
      <x:c r="O90" s="31"/>
      <x:c r="P90" s="31"/>
    </x:row>
    <x:row r="91">
      <x:c r="A91" s="31"/>
      <x:c r="B91" s="31"/>
      <x:c r="C91" s="31"/>
      <x:c r="D91" s="31"/>
      <x:c r="E91" s="42"/>
      <x:c r="F91" s="42"/>
      <x:c r="G91" s="31"/>
      <x:c r="H91" s="31"/>
      <x:c r="I91" s="31"/>
      <x:c r="J91" s="46"/>
      <x:c r="K91" s="31"/>
      <x:c r="L91" s="31"/>
      <x:c r="M91" s="31"/>
      <x:c r="N91" s="31"/>
      <x:c r="O91" s="31"/>
      <x:c r="P91" s="31"/>
    </x:row>
    <x:row r="92">
      <x:c r="A92" s="31"/>
      <x:c r="B92" s="31"/>
      <x:c r="C92" s="31"/>
      <x:c r="D92" s="31"/>
      <x:c r="E92" s="42"/>
      <x:c r="F92" s="42"/>
      <x:c r="G92" s="31"/>
      <x:c r="H92" s="31"/>
      <x:c r="I92" s="31"/>
      <x:c r="J92" s="46"/>
      <x:c r="K92" s="31"/>
      <x:c r="L92" s="31"/>
      <x:c r="M92" s="31"/>
      <x:c r="N92" s="31"/>
      <x:c r="O92" s="31"/>
      <x:c r="P92" s="31"/>
    </x:row>
    <x:row r="93">
      <x:c r="A93" s="31"/>
      <x:c r="B93" s="31"/>
      <x:c r="C93" s="31"/>
      <x:c r="D93" s="31"/>
      <x:c r="E93" s="42"/>
      <x:c r="F93" s="42"/>
      <x:c r="G93" s="31"/>
      <x:c r="H93" s="31"/>
      <x:c r="I93" s="31"/>
      <x:c r="J93" s="46"/>
      <x:c r="K93" s="31"/>
      <x:c r="L93" s="31"/>
      <x:c r="M93" s="31"/>
      <x:c r="N93" s="31"/>
      <x:c r="O93" s="31"/>
      <x:c r="P93" s="31"/>
    </x:row>
    <x:row r="94">
      <x:c r="A94" s="31"/>
      <x:c r="B94" s="31"/>
      <x:c r="C94" s="31"/>
      <x:c r="D94" s="31"/>
      <x:c r="E94" s="42"/>
      <x:c r="F94" s="42"/>
      <x:c r="G94" s="31"/>
      <x:c r="H94" s="31"/>
      <x:c r="I94" s="31"/>
      <x:c r="J94" s="46"/>
      <x:c r="K94" s="31"/>
      <x:c r="L94" s="31"/>
      <x:c r="M94" s="31"/>
      <x:c r="N94" s="31"/>
      <x:c r="O94" s="31"/>
      <x:c r="P94" s="31"/>
    </x:row>
    <x:row r="95">
      <x:c r="A95" s="31"/>
      <x:c r="B95" s="31"/>
      <x:c r="C95" s="31"/>
      <x:c r="D95" s="31"/>
      <x:c r="E95" s="42"/>
      <x:c r="F95" s="42"/>
      <x:c r="G95" s="31"/>
      <x:c r="H95" s="31"/>
      <x:c r="I95" s="31"/>
      <x:c r="J95" s="46"/>
      <x:c r="K95" s="31"/>
      <x:c r="L95" s="31"/>
      <x:c r="M95" s="31"/>
      <x:c r="N95" s="31"/>
      <x:c r="O95" s="31"/>
      <x:c r="P95" s="31"/>
    </x:row>
    <x:row r="96">
      <x:c r="A96" s="31"/>
      <x:c r="B96" s="31"/>
      <x:c r="C96" s="31"/>
      <x:c r="D96" s="31"/>
      <x:c r="E96" s="42"/>
      <x:c r="F96" s="42"/>
      <x:c r="G96" s="31"/>
      <x:c r="H96" s="31"/>
      <x:c r="I96" s="31"/>
      <x:c r="J96" s="46"/>
      <x:c r="K96" s="31"/>
      <x:c r="L96" s="31"/>
      <x:c r="M96" s="31"/>
      <x:c r="N96" s="31"/>
      <x:c r="O96" s="31"/>
      <x:c r="P96" s="31"/>
    </x:row>
    <x:row r="97">
      <x:c r="A97" s="31"/>
      <x:c r="B97" s="31"/>
      <x:c r="C97" s="31"/>
      <x:c r="D97" s="31"/>
      <x:c r="E97" s="42"/>
      <x:c r="F97" s="42"/>
      <x:c r="G97" s="31"/>
      <x:c r="H97" s="31"/>
      <x:c r="I97" s="31"/>
      <x:c r="J97" s="46"/>
      <x:c r="K97" s="31"/>
      <x:c r="L97" s="31"/>
      <x:c r="M97" s="31"/>
      <x:c r="N97" s="31"/>
      <x:c r="O97" s="31"/>
      <x:c r="P97" s="31"/>
    </x:row>
    <x:row r="98">
      <x:c r="A98" s="31"/>
      <x:c r="B98" s="31"/>
      <x:c r="C98" s="31"/>
      <x:c r="D98" s="31"/>
      <x:c r="E98" s="42"/>
      <x:c r="F98" s="42"/>
      <x:c r="G98" s="31"/>
      <x:c r="H98" s="31"/>
      <x:c r="I98" s="31"/>
      <x:c r="J98" s="46"/>
      <x:c r="K98" s="31"/>
      <x:c r="L98" s="31"/>
      <x:c r="M98" s="31"/>
      <x:c r="N98" s="31"/>
      <x:c r="O98" s="31"/>
      <x:c r="P98" s="31"/>
    </x:row>
    <x:row r="99">
      <x:c r="A99" s="31"/>
      <x:c r="B99" s="31"/>
      <x:c r="C99" s="31"/>
      <x:c r="D99" s="31"/>
      <x:c r="E99" s="42"/>
      <x:c r="F99" s="42"/>
      <x:c r="G99" s="31"/>
      <x:c r="H99" s="31"/>
      <x:c r="I99" s="31"/>
      <x:c r="J99" s="46"/>
      <x:c r="K99" s="31"/>
      <x:c r="L99" s="31"/>
      <x:c r="M99" s="31"/>
      <x:c r="N99" s="31"/>
      <x:c r="O99" s="31"/>
      <x:c r="P99" s="31"/>
    </x:row>
    <x:row r="100">
      <x:c r="A100" s="31"/>
      <x:c r="B100" s="31"/>
      <x:c r="C100" s="31"/>
      <x:c r="D100" s="31"/>
      <x:c r="E100" s="42"/>
      <x:c r="F100" s="42"/>
      <x:c r="G100" s="31"/>
      <x:c r="H100" s="31"/>
      <x:c r="I100" s="31"/>
      <x:c r="J100" s="46"/>
      <x:c r="K100" s="31"/>
      <x:c r="L100" s="31"/>
      <x:c r="M100" s="31"/>
      <x:c r="N100" s="31"/>
      <x:c r="O100" s="31"/>
      <x:c r="P100" s="31"/>
    </x:row>
    <x:row r="101">
      <x:c r="A101" s="31"/>
      <x:c r="B101" s="31"/>
      <x:c r="C101" s="31"/>
      <x:c r="D101" s="31"/>
      <x:c r="E101" s="42"/>
      <x:c r="F101" s="42"/>
      <x:c r="G101" s="31"/>
      <x:c r="H101" s="31"/>
      <x:c r="I101" s="31"/>
      <x:c r="J101" s="46"/>
      <x:c r="K101" s="31"/>
      <x:c r="L101" s="31"/>
      <x:c r="M101" s="31"/>
      <x:c r="N101" s="31"/>
      <x:c r="O101" s="31"/>
      <x:c r="P101" s="31"/>
    </x:row>
    <x:row r="102">
      <x:c r="A102" s="31"/>
      <x:c r="B102" s="31"/>
      <x:c r="C102" s="31"/>
      <x:c r="D102" s="31"/>
      <x:c r="E102" s="42"/>
      <x:c r="F102" s="42"/>
      <x:c r="G102" s="31"/>
      <x:c r="H102" s="31"/>
      <x:c r="I102" s="31"/>
      <x:c r="J102" s="46"/>
      <x:c r="K102" s="31"/>
      <x:c r="L102" s="31"/>
      <x:c r="M102" s="31"/>
      <x:c r="N102" s="31"/>
      <x:c r="O102" s="31"/>
      <x:c r="P102" s="31"/>
    </x:row>
    <x:row r="103">
      <x:c r="A103" s="31"/>
      <x:c r="B103" s="31"/>
      <x:c r="C103" s="31"/>
      <x:c r="D103" s="31"/>
      <x:c r="E103" s="42"/>
      <x:c r="F103" s="42"/>
      <x:c r="G103" s="31"/>
      <x:c r="H103" s="31"/>
      <x:c r="I103" s="31"/>
      <x:c r="J103" s="46"/>
      <x:c r="K103" s="31"/>
      <x:c r="L103" s="31"/>
      <x:c r="M103" s="31"/>
      <x:c r="N103" s="31"/>
      <x:c r="O103" s="31"/>
      <x:c r="P103" s="31"/>
    </x:row>
    <x:row r="104">
      <x:c r="A104" s="31"/>
      <x:c r="B104" s="31"/>
      <x:c r="C104" s="31"/>
      <x:c r="D104" s="31"/>
      <x:c r="E104" s="42"/>
      <x:c r="F104" s="42"/>
      <x:c r="G104" s="31"/>
      <x:c r="H104" s="31"/>
      <x:c r="I104" s="31"/>
      <x:c r="J104" s="46"/>
      <x:c r="K104" s="31"/>
      <x:c r="L104" s="31"/>
      <x:c r="M104" s="31"/>
      <x:c r="N104" s="31"/>
      <x:c r="O104" s="31"/>
      <x:c r="P104" s="31"/>
    </x:row>
    <x:row r="105">
      <x:c r="A105" s="31"/>
      <x:c r="B105" s="31"/>
      <x:c r="C105" s="31"/>
      <x:c r="D105" s="31"/>
      <x:c r="E105" s="42"/>
      <x:c r="F105" s="42"/>
      <x:c r="G105" s="31"/>
      <x:c r="H105" s="31"/>
      <x:c r="I105" s="31"/>
      <x:c r="J105" s="46"/>
      <x:c r="K105" s="31"/>
      <x:c r="L105" s="31"/>
      <x:c r="M105" s="31"/>
      <x:c r="N105" s="31"/>
      <x:c r="O105" s="31"/>
      <x:c r="P105" s="31"/>
    </x:row>
    <x:row r="106">
      <x:c r="A106" s="31"/>
      <x:c r="B106" s="31"/>
      <x:c r="C106" s="31"/>
      <x:c r="D106" s="31"/>
      <x:c r="E106" s="42"/>
      <x:c r="F106" s="42"/>
      <x:c r="G106" s="31"/>
      <x:c r="H106" s="31"/>
      <x:c r="I106" s="31"/>
      <x:c r="J106" s="46"/>
      <x:c r="K106" s="31"/>
      <x:c r="L106" s="31"/>
      <x:c r="M106" s="31"/>
      <x:c r="N106" s="31"/>
      <x:c r="O106" s="31"/>
      <x:c r="P106" s="31"/>
    </x:row>
    <x:row r="107">
      <x:c r="A107"/>
      <x:c r="B107"/>
      <x:c r="C107"/>
      <x:c r="D107"/>
      <x:c r="E107" s="43"/>
      <x:c r="F107" s="43"/>
      <x:c r="G107"/>
      <x:c r="H107"/>
      <x:c r="I107"/>
      <x:c r="J107" s="47"/>
      <x:c r="K107"/>
      <x:c r="L107"/>
      <x:c r="M107"/>
      <x:c r="N107"/>
      <x:c r="O107"/>
      <x:c r="P107"/>
    </x:row>
  </x:sheetData>
  <x:mergeCells>
    <x:mergeCell ref="A1:N1"/>
    <x:mergeCell ref="A2:N2"/>
  </x:mergeCells>
  <x:dataValidations count="2">
    <x:dataValidation type="list" sqref="C5:C107">
      <x:formula1>"Radar Agent,Fast Kill Agent,Deep Read Agent,Supplier Engine,Pricing Agent,Compliance Agent,Pack Builder,Approval Desk,Execution Tracker,Owner Briefing Agent"</x:formula1>
    </x:dataValidation>
    <x:dataValidation type="list" sqref="D5:D107">
      <x:formula1>"Autopilot Research,Approval-Gated Action,Execution Tracker"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115ba97e54d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1.37999725341797" hidden="0" customWidth="1"/>
    <x:col min="2" max="2" width="15.25" hidden="0" customWidth="1"/>
    <x:col min="3" max="3" width="16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12.75" hidden="0" customWidth="1"/>
    <x:col min="10" max="10" width="15.630000114440918" hidden="0" customWidth="1"/>
    <x:col min="11" max="11" width="15.630000114440918" hidden="0" customWidth="1"/>
    <x:col min="12" max="12" width="10.630000114440918" hidden="0" customWidth="1"/>
    <x:col min="13" max="13" width="14.130000114440918" hidden="0" customWidth="1"/>
    <x:col min="14" max="14" width="21.1299991607666" hidden="0" customWidth="1"/>
    <x:col min="15" max="15" width="12.75" hidden="0" customWidth="1"/>
    <x:col min="16" max="16" width="30" hidden="0" customWidth="1"/>
  </x:cols>
  <x:sheetData>
    <x:row r="1" ht="30" customHeight="1">
      <x:c r="A1" s="70" t="str">
        <x:v>APPROVAL QUEUE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5" t="str">
        <x:v>Hermes owner actions: approve, reject, or ask for changes before money/legal/external actions.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4">
      <x:c r="A4" s="34" t="str">
        <x:v>Approval_ID</x:v>
      </x:c>
      <x:c r="B4" s="34" t="str">
        <x:v>Case_ID</x:v>
      </x:c>
      <x:c r="C4" s="34" t="str">
        <x:v>Approval_Type</x:v>
      </x:c>
      <x:c r="D4" s="34" t="str">
        <x:v>Proposed_Action</x:v>
      </x:c>
      <x:c r="E4" s="34" t="str">
        <x:v>Business_Object</x:v>
      </x:c>
      <x:c r="F4" s="34" t="str">
        <x:v>Expected_Benefit</x:v>
      </x:c>
      <x:c r="G4" s="34" t="str">
        <x:v>Concrete_Risk</x:v>
      </x:c>
      <x:c r="H4" s="34" t="str">
        <x:v>Rollback_Recovery</x:v>
      </x:c>
      <x:c r="I4" s="34" t="str">
        <x:v>Prepared_By</x:v>
      </x:c>
      <x:c r="J4" s="34" t="str">
        <x:v>Approval_Status</x:v>
      </x:c>
      <x:c r="K4" s="34" t="str">
        <x:v>Owner_Decision</x:v>
      </x:c>
      <x:c r="L4" s="34" t="str">
        <x:v>Due_Date</x:v>
      </x:c>
      <x:c r="M4" s="34" t="str">
        <x:v>Decision_Time</x:v>
      </x:c>
      <x:c r="N4" s="34" t="str">
        <x:v>External_Send_Allowed</x:v>
      </x:c>
      <x:c r="O4" s="34" t="str">
        <x:v>Receipt_Link</x:v>
      </x:c>
      <x:c r="P4" s="34" t="str">
        <x:v>Notes</x:v>
      </x:c>
    </x:row>
    <x:row r="5">
      <x:c r="A5" s="31" t="str">
        <x:v>APR-20260630-001</x:v>
      </x:c>
      <x:c r="B5" s="31" t="str">
        <x:v>EXP-20260630-001</x:v>
      </x:c>
      <x:c r="C5" s="31" t="str">
        <x:v>Supplier Outreach</x:v>
      </x:c>
      <x:c r="D5" s="31" t="str">
        <x:v>Send quote request to 5 candidate tote-bag suppliers</x:v>
      </x:c>
      <x:c r="E5" s="31" t="str">
        <x:v>Supplier quote request</x:v>
      </x:c>
      <x:c r="F5" s="31" t="str">
        <x:v>Get 2 price proofs for export pricing</x:v>
      </x:c>
      <x:c r="G5" s="31" t="str">
        <x:v>Suppliers may quote inconsistently or bypass us</x:v>
      </x:c>
      <x:c r="H5" s="31" t="str">
        <x:v>Do not disclose buyer identity until verified; log responses</x:v>
      </x:c>
      <x:c r="I5" s="31" t="str">
        <x:v>Supplier Engine</x:v>
      </x:c>
      <x:c r="J5" s="31" t="str">
        <x:v>Pending</x:v>
      </x:c>
      <x:c r="K5" s="31" t="str"/>
      <x:c r="L5" s="42" t="str"/>
      <x:c r="M5" s="42"/>
      <x:c r="N5" s="31" t="str">
        <x:v>No</x:v>
      </x:c>
      <x:c r="O5" s="31" t="str"/>
      <x:c r="P5" s="31" t="str">
        <x:v>Sample approval</x:v>
      </x:c>
    </x:row>
    <x:row r="6">
      <x:c r="A6" s="31" t="str">
        <x:v>APR-20260630-002</x:v>
      </x:c>
      <x:c r="B6" s="31" t="str">
        <x:v>GOV-20260630-001</x:v>
      </x:c>
      <x:c r="C6" s="31" t="str">
        <x:v>Bid Submission</x:v>
      </x:c>
      <x:c r="D6" s="31" t="str">
        <x:v>Prepare bid pack for housekeeping consumables, no submission yet</x:v>
      </x:c>
      <x:c r="E6" s="31" t="str">
        <x:v>Bid pack</x:v>
      </x:c>
      <x:c r="F6" s="31" t="str">
        <x:v>Move to pricing proof</x:v>
      </x:c>
      <x:c r="G6" s="31" t="str">
        <x:v>Potential hidden clauses in BOQ</x:v>
      </x:c>
      <x:c r="H6" s="31" t="str">
        <x:v>Run deep read and owner review before final submission</x:v>
      </x:c>
      <x:c r="I6" s="31" t="str">
        <x:v>Pack Builder</x:v>
      </x:c>
      <x:c r="J6" s="31" t="str">
        <x:v>Draft</x:v>
      </x:c>
      <x:c r="K6" s="31" t="str"/>
      <x:c r="L6" s="42" t="str"/>
      <x:c r="M6" s="42"/>
      <x:c r="N6" s="31" t="str">
        <x:v>No</x:v>
      </x:c>
      <x:c r="O6" s="31" t="str"/>
      <x:c r="P6" s="31" t="str">
        <x:v>Sample draft</x:v>
      </x:c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42"/>
      <x:c r="M7" s="42"/>
      <x:c r="N7" s="31"/>
      <x:c r="O7" s="31"/>
      <x:c r="P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42"/>
      <x:c r="M8" s="42"/>
      <x:c r="N8" s="31"/>
      <x:c r="O8" s="31"/>
      <x:c r="P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42"/>
      <x:c r="M9" s="42"/>
      <x:c r="N9" s="31"/>
      <x:c r="O9" s="31"/>
      <x:c r="P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42"/>
      <x:c r="M10" s="42"/>
      <x:c r="N10" s="31"/>
      <x:c r="O10" s="31"/>
      <x:c r="P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42"/>
      <x:c r="M11" s="42"/>
      <x:c r="N11" s="31"/>
      <x:c r="O11" s="31"/>
      <x:c r="P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42"/>
      <x:c r="M12" s="42"/>
      <x:c r="N12" s="31"/>
      <x:c r="O12" s="31"/>
      <x:c r="P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42"/>
      <x:c r="M13" s="42"/>
      <x:c r="N13" s="31"/>
      <x:c r="O13" s="31"/>
      <x:c r="P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42"/>
      <x:c r="M14" s="42"/>
      <x:c r="N14" s="31"/>
      <x:c r="O14" s="31"/>
      <x:c r="P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42"/>
      <x:c r="M15" s="42"/>
      <x:c r="N15" s="31"/>
      <x:c r="O15" s="31"/>
      <x:c r="P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42"/>
      <x:c r="M16" s="42"/>
      <x:c r="N16" s="31"/>
      <x:c r="O16" s="31"/>
      <x:c r="P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42"/>
      <x:c r="M17" s="42"/>
      <x:c r="N17" s="31"/>
      <x:c r="O17" s="31"/>
      <x:c r="P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42"/>
      <x:c r="M18" s="42"/>
      <x:c r="N18" s="31"/>
      <x:c r="O18" s="31"/>
      <x:c r="P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42"/>
      <x:c r="M19" s="42"/>
      <x:c r="N19" s="31"/>
      <x:c r="O19" s="31"/>
      <x:c r="P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42"/>
      <x:c r="M20" s="42"/>
      <x:c r="N20" s="31"/>
      <x:c r="O20" s="31"/>
      <x:c r="P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42"/>
      <x:c r="M21" s="42"/>
      <x:c r="N21" s="31"/>
      <x:c r="O21" s="31"/>
      <x:c r="P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42"/>
      <x:c r="M22" s="42"/>
      <x:c r="N22" s="31"/>
      <x:c r="O22" s="31"/>
      <x:c r="P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42"/>
      <x:c r="M23" s="42"/>
      <x:c r="N23" s="31"/>
      <x:c r="O23" s="31"/>
      <x:c r="P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42"/>
      <x:c r="M24" s="42"/>
      <x:c r="N24" s="31"/>
      <x:c r="O24" s="31"/>
      <x:c r="P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42"/>
      <x:c r="M25" s="42"/>
      <x:c r="N25" s="31"/>
      <x:c r="O25" s="31"/>
      <x:c r="P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42"/>
      <x:c r="M26" s="42"/>
      <x:c r="N26" s="31"/>
      <x:c r="O26" s="31"/>
      <x:c r="P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42"/>
      <x:c r="M27" s="42"/>
      <x:c r="N27" s="31"/>
      <x:c r="O27" s="31"/>
      <x:c r="P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42"/>
      <x:c r="M28" s="42"/>
      <x:c r="N28" s="31"/>
      <x:c r="O28" s="31"/>
      <x:c r="P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42"/>
      <x:c r="M29" s="42"/>
      <x:c r="N29" s="31"/>
      <x:c r="O29" s="31"/>
      <x:c r="P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42"/>
      <x:c r="M30" s="42"/>
      <x:c r="N30" s="31"/>
      <x:c r="O30" s="31"/>
      <x:c r="P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42"/>
      <x:c r="M31" s="42"/>
      <x:c r="N31" s="31"/>
      <x:c r="O31" s="31"/>
      <x:c r="P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42"/>
      <x:c r="M32" s="42"/>
      <x:c r="N32" s="31"/>
      <x:c r="O32" s="31"/>
      <x:c r="P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42"/>
      <x:c r="M33" s="42"/>
      <x:c r="N33" s="31"/>
      <x:c r="O33" s="31"/>
      <x:c r="P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42"/>
      <x:c r="M34" s="42"/>
      <x:c r="N34" s="31"/>
      <x:c r="O34" s="31"/>
      <x:c r="P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42"/>
      <x:c r="M35" s="42"/>
      <x:c r="N35" s="31"/>
      <x:c r="O35" s="31"/>
      <x:c r="P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42"/>
      <x:c r="M36" s="42"/>
      <x:c r="N36" s="31"/>
      <x:c r="O36" s="31"/>
      <x:c r="P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42"/>
      <x:c r="M37" s="42"/>
      <x:c r="N37" s="31"/>
      <x:c r="O37" s="31"/>
      <x:c r="P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42"/>
      <x:c r="M38" s="42"/>
      <x:c r="N38" s="31"/>
      <x:c r="O38" s="31"/>
      <x:c r="P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42"/>
      <x:c r="M39" s="42"/>
      <x:c r="N39" s="31"/>
      <x:c r="O39" s="31"/>
      <x:c r="P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42"/>
      <x:c r="M40" s="42"/>
      <x:c r="N40" s="31"/>
      <x:c r="O40" s="31"/>
      <x:c r="P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42"/>
      <x:c r="M41" s="42"/>
      <x:c r="N41" s="31"/>
      <x:c r="O41" s="31"/>
      <x:c r="P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42"/>
      <x:c r="M42" s="42"/>
      <x:c r="N42" s="31"/>
      <x:c r="O42" s="31"/>
      <x:c r="P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42"/>
      <x:c r="M43" s="42"/>
      <x:c r="N43" s="31"/>
      <x:c r="O43" s="31"/>
      <x:c r="P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42"/>
      <x:c r="M44" s="42"/>
      <x:c r="N44" s="31"/>
      <x:c r="O44" s="31"/>
      <x:c r="P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42"/>
      <x:c r="M45" s="42"/>
      <x:c r="N45" s="31"/>
      <x:c r="O45" s="31"/>
      <x:c r="P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42"/>
      <x:c r="M46" s="42"/>
      <x:c r="N46" s="31"/>
      <x:c r="O46" s="31"/>
      <x:c r="P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42"/>
      <x:c r="M47" s="42"/>
      <x:c r="N47" s="31"/>
      <x:c r="O47" s="31"/>
      <x:c r="P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42"/>
      <x:c r="M48" s="42"/>
      <x:c r="N48" s="31"/>
      <x:c r="O48" s="31"/>
      <x:c r="P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42"/>
      <x:c r="M49" s="42"/>
      <x:c r="N49" s="31"/>
      <x:c r="O49" s="31"/>
      <x:c r="P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42"/>
      <x:c r="M50" s="42"/>
      <x:c r="N50" s="31"/>
      <x:c r="O50" s="31"/>
      <x:c r="P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42"/>
      <x:c r="M51" s="42"/>
      <x:c r="N51" s="31"/>
      <x:c r="O51" s="31"/>
      <x:c r="P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42"/>
      <x:c r="M52" s="42"/>
      <x:c r="N52" s="31"/>
      <x:c r="O52" s="31"/>
      <x:c r="P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42"/>
      <x:c r="M53" s="42"/>
      <x:c r="N53" s="31"/>
      <x:c r="O53" s="31"/>
      <x:c r="P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42"/>
      <x:c r="M54" s="42"/>
      <x:c r="N54" s="31"/>
      <x:c r="O54" s="31"/>
      <x:c r="P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42"/>
      <x:c r="M55" s="42"/>
      <x:c r="N55" s="31"/>
      <x:c r="O55" s="31"/>
      <x:c r="P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42"/>
      <x:c r="M56" s="42"/>
      <x:c r="N56" s="31"/>
      <x:c r="O56" s="31"/>
      <x:c r="P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42"/>
      <x:c r="M57" s="42"/>
      <x:c r="N57" s="31"/>
      <x:c r="O57" s="31"/>
      <x:c r="P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42"/>
      <x:c r="M58" s="42"/>
      <x:c r="N58" s="31"/>
      <x:c r="O58" s="31"/>
      <x:c r="P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42"/>
      <x:c r="M59" s="42"/>
      <x:c r="N59" s="31"/>
      <x:c r="O59" s="31"/>
      <x:c r="P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42"/>
      <x:c r="M60" s="42"/>
      <x:c r="N60" s="31"/>
      <x:c r="O60" s="31"/>
      <x:c r="P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42"/>
      <x:c r="M61" s="42"/>
      <x:c r="N61" s="31"/>
      <x:c r="O61" s="31"/>
      <x:c r="P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42"/>
      <x:c r="M62" s="42"/>
      <x:c r="N62" s="31"/>
      <x:c r="O62" s="31"/>
      <x:c r="P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42"/>
      <x:c r="M63" s="42"/>
      <x:c r="N63" s="31"/>
      <x:c r="O63" s="31"/>
      <x:c r="P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42"/>
      <x:c r="M64" s="42"/>
      <x:c r="N64" s="31"/>
      <x:c r="O64" s="31"/>
      <x:c r="P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42"/>
      <x:c r="M65" s="42"/>
      <x:c r="N65" s="31"/>
      <x:c r="O65" s="31"/>
      <x:c r="P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42"/>
      <x:c r="M66" s="42"/>
      <x:c r="N66" s="31"/>
      <x:c r="O66" s="31"/>
      <x:c r="P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42"/>
      <x:c r="M67" s="42"/>
      <x:c r="N67" s="31"/>
      <x:c r="O67" s="31"/>
      <x:c r="P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42"/>
      <x:c r="M68" s="42"/>
      <x:c r="N68" s="31"/>
      <x:c r="O68" s="31"/>
      <x:c r="P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42"/>
      <x:c r="M69" s="42"/>
      <x:c r="N69" s="31"/>
      <x:c r="O69" s="31"/>
      <x:c r="P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42"/>
      <x:c r="M70" s="42"/>
      <x:c r="N70" s="31"/>
      <x:c r="O70" s="31"/>
      <x:c r="P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42"/>
      <x:c r="M71" s="42"/>
      <x:c r="N71" s="31"/>
      <x:c r="O71" s="31"/>
      <x:c r="P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42"/>
      <x:c r="M72" s="42"/>
      <x:c r="N72" s="31"/>
      <x:c r="O72" s="31"/>
      <x:c r="P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42"/>
      <x:c r="M73" s="42"/>
      <x:c r="N73" s="31"/>
      <x:c r="O73" s="31"/>
      <x:c r="P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42"/>
      <x:c r="M74" s="42"/>
      <x:c r="N74" s="31"/>
      <x:c r="O74" s="31"/>
      <x:c r="P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42"/>
      <x:c r="M75" s="42"/>
      <x:c r="N75" s="31"/>
      <x:c r="O75" s="31"/>
      <x:c r="P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42"/>
      <x:c r="M76" s="42"/>
      <x:c r="N76" s="31"/>
      <x:c r="O76" s="31"/>
      <x:c r="P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42"/>
      <x:c r="M77" s="42"/>
      <x:c r="N77" s="31"/>
      <x:c r="O77" s="31"/>
      <x:c r="P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42"/>
      <x:c r="M78" s="42"/>
      <x:c r="N78" s="31"/>
      <x:c r="O78" s="31"/>
      <x:c r="P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42"/>
      <x:c r="M79" s="42"/>
      <x:c r="N79" s="31"/>
      <x:c r="O79" s="31"/>
      <x:c r="P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42"/>
      <x:c r="M80" s="42"/>
      <x:c r="N80" s="31"/>
      <x:c r="O80" s="31"/>
      <x:c r="P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42"/>
      <x:c r="M81" s="42"/>
      <x:c r="N81" s="31"/>
      <x:c r="O81" s="31"/>
      <x:c r="P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42"/>
      <x:c r="M82" s="42"/>
      <x:c r="N82" s="31"/>
      <x:c r="O82" s="31"/>
      <x:c r="P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42"/>
      <x:c r="M83" s="42"/>
      <x:c r="N83" s="31"/>
      <x:c r="O83" s="31"/>
      <x:c r="P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42"/>
      <x:c r="M84" s="42"/>
      <x:c r="N84" s="31"/>
      <x:c r="O84" s="31"/>
      <x:c r="P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42"/>
      <x:c r="M85" s="42"/>
      <x:c r="N85" s="31"/>
      <x:c r="O85" s="31"/>
      <x:c r="P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42"/>
      <x:c r="M86" s="42"/>
      <x:c r="N86" s="31"/>
      <x:c r="O86" s="31"/>
      <x:c r="P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42"/>
      <x:c r="M87" s="42"/>
      <x:c r="N87" s="31"/>
      <x:c r="O87" s="31"/>
      <x:c r="P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42"/>
      <x:c r="M88" s="42"/>
      <x:c r="N88" s="31"/>
      <x:c r="O88" s="31"/>
      <x:c r="P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42"/>
      <x:c r="M89" s="42"/>
      <x:c r="N89" s="31"/>
      <x:c r="O89" s="31"/>
      <x:c r="P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42"/>
      <x:c r="M90" s="42"/>
      <x:c r="N90" s="31"/>
      <x:c r="O90" s="31"/>
      <x:c r="P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42"/>
      <x:c r="M91" s="42"/>
      <x:c r="N91" s="31"/>
      <x:c r="O91" s="31"/>
      <x:c r="P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42"/>
      <x:c r="M92" s="42"/>
      <x:c r="N92" s="31"/>
      <x:c r="O92" s="31"/>
      <x:c r="P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42"/>
      <x:c r="M93" s="42"/>
      <x:c r="N93" s="31"/>
      <x:c r="O93" s="31"/>
      <x:c r="P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42"/>
      <x:c r="M94" s="42"/>
      <x:c r="N94" s="31"/>
      <x:c r="O94" s="31"/>
      <x:c r="P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42"/>
      <x:c r="M95" s="42"/>
      <x:c r="N95" s="31"/>
      <x:c r="O95" s="31"/>
      <x:c r="P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42"/>
      <x:c r="M96" s="42"/>
      <x:c r="N96" s="31"/>
      <x:c r="O96" s="31"/>
      <x:c r="P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42"/>
      <x:c r="M97" s="42"/>
      <x:c r="N97" s="31"/>
      <x:c r="O97" s="31"/>
      <x:c r="P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42"/>
      <x:c r="M98" s="42"/>
      <x:c r="N98" s="31"/>
      <x:c r="O98" s="31"/>
      <x:c r="P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42"/>
      <x:c r="M99" s="42"/>
      <x:c r="N99" s="31"/>
      <x:c r="O99" s="31"/>
      <x:c r="P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42"/>
      <x:c r="M100" s="42"/>
      <x:c r="N100" s="31"/>
      <x:c r="O100" s="31"/>
      <x:c r="P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42"/>
      <x:c r="M101" s="42"/>
      <x:c r="N101" s="31"/>
      <x:c r="O101" s="31"/>
      <x:c r="P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42"/>
      <x:c r="M102" s="42"/>
      <x:c r="N102" s="31"/>
      <x:c r="O102" s="31"/>
      <x:c r="P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42"/>
      <x:c r="M103" s="42"/>
      <x:c r="N103" s="31"/>
      <x:c r="O103" s="31"/>
      <x:c r="P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42"/>
      <x:c r="M104" s="42"/>
      <x:c r="N104" s="31"/>
      <x:c r="O104" s="31"/>
      <x:c r="P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42"/>
      <x:c r="M105" s="42"/>
      <x:c r="N105" s="31"/>
      <x:c r="O105" s="31"/>
      <x:c r="P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42"/>
      <x:c r="M106" s="42"/>
      <x:c r="N106" s="31"/>
      <x:c r="O106" s="31"/>
      <x:c r="P106" s="31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 s="43"/>
      <x:c r="M107" s="43"/>
      <x:c r="N107"/>
      <x:c r="O107"/>
      <x:c r="P107"/>
    </x:row>
  </x:sheetData>
  <x:mergeCells>
    <x:mergeCell ref="A1:P1"/>
    <x:mergeCell ref="A2:P2"/>
  </x:mergeCells>
  <x:dataValidations count="4">
    <x:dataValidation type="list" sqref="C5:C107">
      <x:formula1>"Supplier Outreach,Buyer Quote,Bid Submission,HS/ITC-HS Classification,Origin/FTA Claim,Payment Terms,Supplier Commitment,Document Upload,Tender Clarification"</x:formula1>
    </x:dataValidation>
    <x:dataValidation type="list" sqref="J5:J107">
      <x:formula1>"Pending,Approved,Rejected,Changes Requested,Draft,Expired"</x:formula1>
    </x:dataValidation>
    <x:dataValidation type="list" sqref="K5:K107">
      <x:formula1>"Approve,Reject,Ask Changes,Need Call,Hold"</x:formula1>
    </x:dataValidation>
    <x:dataValidation type="list" sqref="N5:N10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d8d0d387284a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5.75" hidden="0" customWidth="1"/>
    <x:col min="2" max="2" width="18.75" hidden="0" customWidth="1"/>
    <x:col min="3" max="3" width="9.130000114440918" hidden="0" customWidth="1"/>
    <x:col min="4" max="4" width="12.75" hidden="0" customWidth="1"/>
    <x:col min="5" max="5" width="28" hidden="0" customWidth="1"/>
    <x:col min="6" max="6" width="28" hidden="0" customWidth="1"/>
    <x:col min="7" max="7" width="14.380000114440918" hidden="0" customWidth="1"/>
    <x:col min="8" max="8" width="16.5" hidden="0" customWidth="1"/>
    <x:col min="9" max="9" width="19" hidden="0" customWidth="1"/>
    <x:col min="10" max="10" width="28" hidden="0" customWidth="1"/>
    <x:col min="11" max="11" width="16.8799991607666" hidden="0" customWidth="1"/>
    <x:col min="12" max="12" width="15.880000114440918" hidden="0" customWidth="1"/>
    <x:col min="13" max="13" width="13.630000114440918" hidden="0" customWidth="1"/>
    <x:col min="14" max="14" width="20.3799991607666" hidden="0" customWidth="1"/>
    <x:col min="15" max="15" width="17.8799991607666" hidden="0" customWidth="1"/>
    <x:col min="16" max="16" width="23.3799991607666" hidden="0" customWidth="1"/>
    <x:col min="17" max="17" width="10.130000114440918" hidden="0" customWidth="1"/>
    <x:col min="18" max="18" width="18.25" hidden="0" customWidth="1"/>
    <x:col min="19" max="19" width="13.380000114440918" hidden="0" customWidth="1"/>
    <x:col min="20" max="20" width="28" hidden="0" customWidth="1"/>
  </x:cols>
  <x:sheetData>
    <x:row r="1" ht="30" customHeight="1">
      <x:c r="A1" s="70" t="str">
        <x:v>SUPPLIER MASTER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31"/>
      <x:c r="V1" s="31"/>
      <x:c r="W1" s="31"/>
      <x:c r="X1" s="31"/>
      <x:c r="Y1" s="31"/>
      <x:c r="Z1" s="31"/>
    </x:row>
    <x:row r="2" ht="34" customHeight="1">
      <x:c r="A2" s="15" t="str">
        <x:v>Shared supplier memory for government tenders and export opportunities.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</x:row>
    <x:row r="4">
      <x:c r="A4" s="34" t="str">
        <x:v>Supplier_ID</x:v>
      </x:c>
      <x:c r="B4" s="34" t="str">
        <x:v>Supplier_Name</x:v>
      </x:c>
      <x:c r="C4" s="34" t="str">
        <x:v>Country</x:v>
      </x:c>
      <x:c r="D4" s="34" t="str">
        <x:v>Source_Type</x:v>
      </x:c>
      <x:c r="E4" s="34" t="str">
        <x:v>Source_URL</x:v>
      </x:c>
      <x:c r="F4" s="34" t="str">
        <x:v>Product_Categories</x:v>
      </x:c>
      <x:c r="G4" s="34" t="str">
        <x:v>Contact_Name</x:v>
      </x:c>
      <x:c r="H4" s="34" t="str">
        <x:v>Contact</x:v>
      </x:c>
      <x:c r="I4" s="34" t="str">
        <x:v>Registration_ID</x:v>
      </x:c>
      <x:c r="J4" s="34" t="str">
        <x:v>Certificates</x:v>
      </x:c>
      <x:c r="K4" s="34" t="str">
        <x:v>Verification_Score</x:v>
      </x:c>
      <x:c r="L4" s="34" t="str">
        <x:v>Response_Speed</x:v>
      </x:c>
      <x:c r="M4" s="34" t="str">
        <x:v>Quote_Clarity</x:v>
      </x:c>
      <x:c r="N4" s="34" t="str">
        <x:v>Price_Competitiveness</x:v>
      </x:c>
      <x:c r="O4" s="34" t="str">
        <x:v>Delivery_Reliability</x:v>
      </x:c>
      <x:c r="P4" s="34" t="str">
        <x:v>Export_Tender_Experience</x:v>
      </x:c>
      <x:c r="Q4" s="34" t="str">
        <x:v>Risk_Flag</x:v>
      </x:c>
      <x:c r="R4" s="34" t="str">
        <x:v>Preferred_Status</x:v>
      </x:c>
      <x:c r="S4" s="34" t="str">
        <x:v>Last_Checked</x:v>
      </x:c>
      <x:c r="T4" s="34" t="str">
        <x:v>Notes</x:v>
      </x:c>
    </x:row>
    <x:row r="5">
      <x:c r="A5" s="31" t="str">
        <x:v>SUP-IN-001</x:v>
      </x:c>
      <x:c r="B5" s="31" t="str">
        <x:v>Example Textile Works</x:v>
      </x:c>
      <x:c r="C5" s="31" t="str">
        <x:v>India</x:v>
      </x:c>
      <x:c r="D5" s="31" t="str">
        <x:v>IndiaMART</x:v>
      </x:c>
      <x:c r="E5" s="31" t="str">
        <x:v>https://www.indiamart.com/</x:v>
      </x:c>
      <x:c r="F5" s="31" t="str">
        <x:v>Cotton bags, textile packaging</x:v>
      </x:c>
      <x:c r="G5" s="31" t="str">
        <x:v>Sales</x:v>
      </x:c>
      <x:c r="H5" s="31" t="str">
        <x:v>phone/email pending</x:v>
      </x:c>
      <x:c r="I5" s="31" t="str">
        <x:v>GST/IEC pending</x:v>
      </x:c>
      <x:c r="J5" s="31" t="str">
        <x:v>ISO pending</x:v>
      </x:c>
      <x:c r="K5" s="40" t="n">
        <x:f>IF(COUNT(L5:P5)=0,"",ROUND(SUM(L5:P5)/COUNT(L5:P5)*20,0))</x:f>
        <x:v>68</x:v>
      </x:c>
      <x:c r="L5" s="40" t="n">
        <x:v>4</x:v>
      </x:c>
      <x:c r="M5" s="40" t="n">
        <x:v>4</x:v>
      </x:c>
      <x:c r="N5" s="40" t="n">
        <x:v>3</x:v>
      </x:c>
      <x:c r="O5" s="40" t="n">
        <x:v>3</x:v>
      </x:c>
      <x:c r="P5" s="40" t="n">
        <x:v>3</x:v>
      </x:c>
      <x:c r="Q5" s="31" t="str">
        <x:v>Medium</x:v>
      </x:c>
      <x:c r="R5" s="31" t="str">
        <x:v>Needs Manual Check</x:v>
      </x:c>
      <x:c r="S5" s="36" t="n">
        <x:v>46202</x:v>
      </x:c>
      <x:c r="T5" s="31" t="str">
        <x:v>Sample only</x:v>
      </x:c>
    </x:row>
    <x:row r="6">
      <x:c r="A6" s="31" t="str">
        <x:v>SUP-CN-001</x:v>
      </x:c>
      <x:c r="B6" s="31" t="str">
        <x:v>Example Global Bags Co.</x:v>
      </x:c>
      <x:c r="C6" s="31" t="str">
        <x:v>China</x:v>
      </x:c>
      <x:c r="D6" s="31" t="str">
        <x:v>Alibaba</x:v>
      </x:c>
      <x:c r="E6" s="31" t="str">
        <x:v>https://www.alibaba.com/</x:v>
      </x:c>
      <x:c r="F6" s="31" t="str">
        <x:v>Cotton bags, tote bags</x:v>
      </x:c>
      <x:c r="G6" s="31" t="str">
        <x:v>Sales</x:v>
      </x:c>
      <x:c r="H6" s="31" t="str">
        <x:v>message pending</x:v>
      </x:c>
      <x:c r="I6" s="31" t="str">
        <x:v>Business license pending</x:v>
      </x:c>
      <x:c r="J6" s="31" t="str">
        <x:v>Export certificates pending</x:v>
      </x:c>
      <x:c r="K6" s="40" t="n">
        <x:f>IF(COUNT(L6:P6)=0,"",ROUND(SUM(L6:P6)/COUNT(L6:P6)*20,0))</x:f>
        <x:v>68</x:v>
      </x:c>
      <x:c r="L6" s="40" t="n">
        <x:v>3</x:v>
      </x:c>
      <x:c r="M6" s="40" t="n">
        <x:v>3</x:v>
      </x:c>
      <x:c r="N6" s="40" t="n">
        <x:v>4</x:v>
      </x:c>
      <x:c r="O6" s="40" t="n">
        <x:v>3</x:v>
      </x:c>
      <x:c r="P6" s="40" t="n">
        <x:v>4</x:v>
      </x:c>
      <x:c r="Q6" s="31" t="str">
        <x:v>Medium</x:v>
      </x:c>
      <x:c r="R6" s="31" t="str">
        <x:v>Needs Manual Check</x:v>
      </x:c>
      <x:c r="S6" s="36" t="n">
        <x:v>46202</x:v>
      </x:c>
      <x:c r="T6" s="31" t="str">
        <x:v>Sample only</x:v>
      </x:c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40" t="str">
        <x:f>IF(COUNT(L7:P7)=0,"",ROUND(SUM(L7:P7)/COUNT(L7:P7)*20,0))</x:f>
      </x:c>
      <x:c r="L7" s="40"/>
      <x:c r="M7" s="40"/>
      <x:c r="N7" s="40"/>
      <x:c r="O7" s="40"/>
      <x:c r="P7" s="40"/>
      <x:c r="Q7" s="31"/>
      <x:c r="R7" s="31"/>
      <x:c r="S7" s="36"/>
      <x:c r="T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40" t="str">
        <x:f>IF(COUNT(L8:P8)=0,"",ROUND(SUM(L8:P8)/COUNT(L8:P8)*20,0))</x:f>
      </x:c>
      <x:c r="L8" s="40"/>
      <x:c r="M8" s="40"/>
      <x:c r="N8" s="40"/>
      <x:c r="O8" s="40"/>
      <x:c r="P8" s="40"/>
      <x:c r="Q8" s="31"/>
      <x:c r="R8" s="31"/>
      <x:c r="S8" s="36"/>
      <x:c r="T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40" t="str">
        <x:f>IF(COUNT(L9:P9)=0,"",ROUND(SUM(L9:P9)/COUNT(L9:P9)*20,0))</x:f>
      </x:c>
      <x:c r="L9" s="40"/>
      <x:c r="M9" s="40"/>
      <x:c r="N9" s="40"/>
      <x:c r="O9" s="40"/>
      <x:c r="P9" s="40"/>
      <x:c r="Q9" s="31"/>
      <x:c r="R9" s="31"/>
      <x:c r="S9" s="36"/>
      <x:c r="T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40" t="str">
        <x:f>IF(COUNT(L10:P10)=0,"",ROUND(SUM(L10:P10)/COUNT(L10:P10)*20,0))</x:f>
      </x:c>
      <x:c r="L10" s="40"/>
      <x:c r="M10" s="40"/>
      <x:c r="N10" s="40"/>
      <x:c r="O10" s="40"/>
      <x:c r="P10" s="40"/>
      <x:c r="Q10" s="31"/>
      <x:c r="R10" s="31"/>
      <x:c r="S10" s="36"/>
      <x:c r="T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40" t="str">
        <x:f>IF(COUNT(L11:P11)=0,"",ROUND(SUM(L11:P11)/COUNT(L11:P11)*20,0))</x:f>
      </x:c>
      <x:c r="L11" s="40"/>
      <x:c r="M11" s="40"/>
      <x:c r="N11" s="40"/>
      <x:c r="O11" s="40"/>
      <x:c r="P11" s="40"/>
      <x:c r="Q11" s="31"/>
      <x:c r="R11" s="31"/>
      <x:c r="S11" s="36"/>
      <x:c r="T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40" t="str">
        <x:f>IF(COUNT(L12:P12)=0,"",ROUND(SUM(L12:P12)/COUNT(L12:P12)*20,0))</x:f>
      </x:c>
      <x:c r="L12" s="40"/>
      <x:c r="M12" s="40"/>
      <x:c r="N12" s="40"/>
      <x:c r="O12" s="40"/>
      <x:c r="P12" s="40"/>
      <x:c r="Q12" s="31"/>
      <x:c r="R12" s="31"/>
      <x:c r="S12" s="36"/>
      <x:c r="T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40" t="str">
        <x:f>IF(COUNT(L13:P13)=0,"",ROUND(SUM(L13:P13)/COUNT(L13:P13)*20,0))</x:f>
      </x:c>
      <x:c r="L13" s="40"/>
      <x:c r="M13" s="40"/>
      <x:c r="N13" s="40"/>
      <x:c r="O13" s="40"/>
      <x:c r="P13" s="40"/>
      <x:c r="Q13" s="31"/>
      <x:c r="R13" s="31"/>
      <x:c r="S13" s="36"/>
      <x:c r="T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40" t="str">
        <x:f>IF(COUNT(L14:P14)=0,"",ROUND(SUM(L14:P14)/COUNT(L14:P14)*20,0))</x:f>
      </x:c>
      <x:c r="L14" s="40"/>
      <x:c r="M14" s="40"/>
      <x:c r="N14" s="40"/>
      <x:c r="O14" s="40"/>
      <x:c r="P14" s="40"/>
      <x:c r="Q14" s="31"/>
      <x:c r="R14" s="31"/>
      <x:c r="S14" s="36"/>
      <x:c r="T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40" t="str">
        <x:f>IF(COUNT(L15:P15)=0,"",ROUND(SUM(L15:P15)/COUNT(L15:P15)*20,0))</x:f>
      </x:c>
      <x:c r="L15" s="40"/>
      <x:c r="M15" s="40"/>
      <x:c r="N15" s="40"/>
      <x:c r="O15" s="40"/>
      <x:c r="P15" s="40"/>
      <x:c r="Q15" s="31"/>
      <x:c r="R15" s="31"/>
      <x:c r="S15" s="36"/>
      <x:c r="T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40" t="str">
        <x:f>IF(COUNT(L16:P16)=0,"",ROUND(SUM(L16:P16)/COUNT(L16:P16)*20,0))</x:f>
      </x:c>
      <x:c r="L16" s="40"/>
      <x:c r="M16" s="40"/>
      <x:c r="N16" s="40"/>
      <x:c r="O16" s="40"/>
      <x:c r="P16" s="40"/>
      <x:c r="Q16" s="31"/>
      <x:c r="R16" s="31"/>
      <x:c r="S16" s="36"/>
      <x:c r="T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40" t="str">
        <x:f>IF(COUNT(L17:P17)=0,"",ROUND(SUM(L17:P17)/COUNT(L17:P17)*20,0))</x:f>
      </x:c>
      <x:c r="L17" s="40"/>
      <x:c r="M17" s="40"/>
      <x:c r="N17" s="40"/>
      <x:c r="O17" s="40"/>
      <x:c r="P17" s="40"/>
      <x:c r="Q17" s="31"/>
      <x:c r="R17" s="31"/>
      <x:c r="S17" s="36"/>
      <x:c r="T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40" t="str">
        <x:f>IF(COUNT(L18:P18)=0,"",ROUND(SUM(L18:P18)/COUNT(L18:P18)*20,0))</x:f>
      </x:c>
      <x:c r="L18" s="40"/>
      <x:c r="M18" s="40"/>
      <x:c r="N18" s="40"/>
      <x:c r="O18" s="40"/>
      <x:c r="P18" s="40"/>
      <x:c r="Q18" s="31"/>
      <x:c r="R18" s="31"/>
      <x:c r="S18" s="36"/>
      <x:c r="T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40" t="str">
        <x:f>IF(COUNT(L19:P19)=0,"",ROUND(SUM(L19:P19)/COUNT(L19:P19)*20,0))</x:f>
      </x:c>
      <x:c r="L19" s="40"/>
      <x:c r="M19" s="40"/>
      <x:c r="N19" s="40"/>
      <x:c r="O19" s="40"/>
      <x:c r="P19" s="40"/>
      <x:c r="Q19" s="31"/>
      <x:c r="R19" s="31"/>
      <x:c r="S19" s="36"/>
      <x:c r="T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40" t="str">
        <x:f>IF(COUNT(L20:P20)=0,"",ROUND(SUM(L20:P20)/COUNT(L20:P20)*20,0))</x:f>
      </x:c>
      <x:c r="L20" s="40"/>
      <x:c r="M20" s="40"/>
      <x:c r="N20" s="40"/>
      <x:c r="O20" s="40"/>
      <x:c r="P20" s="40"/>
      <x:c r="Q20" s="31"/>
      <x:c r="R20" s="31"/>
      <x:c r="S20" s="36"/>
      <x:c r="T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40" t="str">
        <x:f>IF(COUNT(L21:P21)=0,"",ROUND(SUM(L21:P21)/COUNT(L21:P21)*20,0))</x:f>
      </x:c>
      <x:c r="L21" s="40"/>
      <x:c r="M21" s="40"/>
      <x:c r="N21" s="40"/>
      <x:c r="O21" s="40"/>
      <x:c r="P21" s="40"/>
      <x:c r="Q21" s="31"/>
      <x:c r="R21" s="31"/>
      <x:c r="S21" s="36"/>
      <x:c r="T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40" t="str">
        <x:f>IF(COUNT(L22:P22)=0,"",ROUND(SUM(L22:P22)/COUNT(L22:P22)*20,0))</x:f>
      </x:c>
      <x:c r="L22" s="40"/>
      <x:c r="M22" s="40"/>
      <x:c r="N22" s="40"/>
      <x:c r="O22" s="40"/>
      <x:c r="P22" s="40"/>
      <x:c r="Q22" s="31"/>
      <x:c r="R22" s="31"/>
      <x:c r="S22" s="36"/>
      <x:c r="T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40" t="str">
        <x:f>IF(COUNT(L23:P23)=0,"",ROUND(SUM(L23:P23)/COUNT(L23:P23)*20,0))</x:f>
      </x:c>
      <x:c r="L23" s="40"/>
      <x:c r="M23" s="40"/>
      <x:c r="N23" s="40"/>
      <x:c r="O23" s="40"/>
      <x:c r="P23" s="40"/>
      <x:c r="Q23" s="31"/>
      <x:c r="R23" s="31"/>
      <x:c r="S23" s="36"/>
      <x:c r="T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40" t="str">
        <x:f>IF(COUNT(L24:P24)=0,"",ROUND(SUM(L24:P24)/COUNT(L24:P24)*20,0))</x:f>
      </x:c>
      <x:c r="L24" s="40"/>
      <x:c r="M24" s="40"/>
      <x:c r="N24" s="40"/>
      <x:c r="O24" s="40"/>
      <x:c r="P24" s="40"/>
      <x:c r="Q24" s="31"/>
      <x:c r="R24" s="31"/>
      <x:c r="S24" s="36"/>
      <x:c r="T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40" t="str">
        <x:f>IF(COUNT(L25:P25)=0,"",ROUND(SUM(L25:P25)/COUNT(L25:P25)*20,0))</x:f>
      </x:c>
      <x:c r="L25" s="40"/>
      <x:c r="M25" s="40"/>
      <x:c r="N25" s="40"/>
      <x:c r="O25" s="40"/>
      <x:c r="P25" s="40"/>
      <x:c r="Q25" s="31"/>
      <x:c r="R25" s="31"/>
      <x:c r="S25" s="36"/>
      <x:c r="T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40" t="str">
        <x:f>IF(COUNT(L26:P26)=0,"",ROUND(SUM(L26:P26)/COUNT(L26:P26)*20,0))</x:f>
      </x:c>
      <x:c r="L26" s="40"/>
      <x:c r="M26" s="40"/>
      <x:c r="N26" s="40"/>
      <x:c r="O26" s="40"/>
      <x:c r="P26" s="40"/>
      <x:c r="Q26" s="31"/>
      <x:c r="R26" s="31"/>
      <x:c r="S26" s="36"/>
      <x:c r="T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40" t="str">
        <x:f>IF(COUNT(L27:P27)=0,"",ROUND(SUM(L27:P27)/COUNT(L27:P27)*20,0))</x:f>
      </x:c>
      <x:c r="L27" s="40"/>
      <x:c r="M27" s="40"/>
      <x:c r="N27" s="40"/>
      <x:c r="O27" s="40"/>
      <x:c r="P27" s="40"/>
      <x:c r="Q27" s="31"/>
      <x:c r="R27" s="31"/>
      <x:c r="S27" s="36"/>
      <x:c r="T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40" t="str">
        <x:f>IF(COUNT(L28:P28)=0,"",ROUND(SUM(L28:P28)/COUNT(L28:P28)*20,0))</x:f>
      </x:c>
      <x:c r="L28" s="40"/>
      <x:c r="M28" s="40"/>
      <x:c r="N28" s="40"/>
      <x:c r="O28" s="40"/>
      <x:c r="P28" s="40"/>
      <x:c r="Q28" s="31"/>
      <x:c r="R28" s="31"/>
      <x:c r="S28" s="36"/>
      <x:c r="T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40" t="str">
        <x:f>IF(COUNT(L29:P29)=0,"",ROUND(SUM(L29:P29)/COUNT(L29:P29)*20,0))</x:f>
      </x:c>
      <x:c r="L29" s="40"/>
      <x:c r="M29" s="40"/>
      <x:c r="N29" s="40"/>
      <x:c r="O29" s="40"/>
      <x:c r="P29" s="40"/>
      <x:c r="Q29" s="31"/>
      <x:c r="R29" s="31"/>
      <x:c r="S29" s="36"/>
      <x:c r="T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40" t="str">
        <x:f>IF(COUNT(L30:P30)=0,"",ROUND(SUM(L30:P30)/COUNT(L30:P30)*20,0))</x:f>
      </x:c>
      <x:c r="L30" s="40"/>
      <x:c r="M30" s="40"/>
      <x:c r="N30" s="40"/>
      <x:c r="O30" s="40"/>
      <x:c r="P30" s="40"/>
      <x:c r="Q30" s="31"/>
      <x:c r="R30" s="31"/>
      <x:c r="S30" s="36"/>
      <x:c r="T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40" t="str">
        <x:f>IF(COUNT(L31:P31)=0,"",ROUND(SUM(L31:P31)/COUNT(L31:P31)*20,0))</x:f>
      </x:c>
      <x:c r="L31" s="40"/>
      <x:c r="M31" s="40"/>
      <x:c r="N31" s="40"/>
      <x:c r="O31" s="40"/>
      <x:c r="P31" s="40"/>
      <x:c r="Q31" s="31"/>
      <x:c r="R31" s="31"/>
      <x:c r="S31" s="36"/>
      <x:c r="T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40" t="str">
        <x:f>IF(COUNT(L32:P32)=0,"",ROUND(SUM(L32:P32)/COUNT(L32:P32)*20,0))</x:f>
      </x:c>
      <x:c r="L32" s="40"/>
      <x:c r="M32" s="40"/>
      <x:c r="N32" s="40"/>
      <x:c r="O32" s="40"/>
      <x:c r="P32" s="40"/>
      <x:c r="Q32" s="31"/>
      <x:c r="R32" s="31"/>
      <x:c r="S32" s="36"/>
      <x:c r="T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40" t="str">
        <x:f>IF(COUNT(L33:P33)=0,"",ROUND(SUM(L33:P33)/COUNT(L33:P33)*20,0))</x:f>
      </x:c>
      <x:c r="L33" s="40"/>
      <x:c r="M33" s="40"/>
      <x:c r="N33" s="40"/>
      <x:c r="O33" s="40"/>
      <x:c r="P33" s="40"/>
      <x:c r="Q33" s="31"/>
      <x:c r="R33" s="31"/>
      <x:c r="S33" s="36"/>
      <x:c r="T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40" t="str">
        <x:f>IF(COUNT(L34:P34)=0,"",ROUND(SUM(L34:P34)/COUNT(L34:P34)*20,0))</x:f>
      </x:c>
      <x:c r="L34" s="40"/>
      <x:c r="M34" s="40"/>
      <x:c r="N34" s="40"/>
      <x:c r="O34" s="40"/>
      <x:c r="P34" s="40"/>
      <x:c r="Q34" s="31"/>
      <x:c r="R34" s="31"/>
      <x:c r="S34" s="36"/>
      <x:c r="T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40" t="str">
        <x:f>IF(COUNT(L35:P35)=0,"",ROUND(SUM(L35:P35)/COUNT(L35:P35)*20,0))</x:f>
      </x:c>
      <x:c r="L35" s="40"/>
      <x:c r="M35" s="40"/>
      <x:c r="N35" s="40"/>
      <x:c r="O35" s="40"/>
      <x:c r="P35" s="40"/>
      <x:c r="Q35" s="31"/>
      <x:c r="R35" s="31"/>
      <x:c r="S35" s="36"/>
      <x:c r="T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40" t="str">
        <x:f>IF(COUNT(L36:P36)=0,"",ROUND(SUM(L36:P36)/COUNT(L36:P36)*20,0))</x:f>
      </x:c>
      <x:c r="L36" s="40"/>
      <x:c r="M36" s="40"/>
      <x:c r="N36" s="40"/>
      <x:c r="O36" s="40"/>
      <x:c r="P36" s="40"/>
      <x:c r="Q36" s="31"/>
      <x:c r="R36" s="31"/>
      <x:c r="S36" s="36"/>
      <x:c r="T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40" t="str">
        <x:f>IF(COUNT(L37:P37)=0,"",ROUND(SUM(L37:P37)/COUNT(L37:P37)*20,0))</x:f>
      </x:c>
      <x:c r="L37" s="40"/>
      <x:c r="M37" s="40"/>
      <x:c r="N37" s="40"/>
      <x:c r="O37" s="40"/>
      <x:c r="P37" s="40"/>
      <x:c r="Q37" s="31"/>
      <x:c r="R37" s="31"/>
      <x:c r="S37" s="36"/>
      <x:c r="T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40" t="str">
        <x:f>IF(COUNT(L38:P38)=0,"",ROUND(SUM(L38:P38)/COUNT(L38:P38)*20,0))</x:f>
      </x:c>
      <x:c r="L38" s="40"/>
      <x:c r="M38" s="40"/>
      <x:c r="N38" s="40"/>
      <x:c r="O38" s="40"/>
      <x:c r="P38" s="40"/>
      <x:c r="Q38" s="31"/>
      <x:c r="R38" s="31"/>
      <x:c r="S38" s="36"/>
      <x:c r="T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40" t="str">
        <x:f>IF(COUNT(L39:P39)=0,"",ROUND(SUM(L39:P39)/COUNT(L39:P39)*20,0))</x:f>
      </x:c>
      <x:c r="L39" s="40"/>
      <x:c r="M39" s="40"/>
      <x:c r="N39" s="40"/>
      <x:c r="O39" s="40"/>
      <x:c r="P39" s="40"/>
      <x:c r="Q39" s="31"/>
      <x:c r="R39" s="31"/>
      <x:c r="S39" s="36"/>
      <x:c r="T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40" t="str">
        <x:f>IF(COUNT(L40:P40)=0,"",ROUND(SUM(L40:P40)/COUNT(L40:P40)*20,0))</x:f>
      </x:c>
      <x:c r="L40" s="40"/>
      <x:c r="M40" s="40"/>
      <x:c r="N40" s="40"/>
      <x:c r="O40" s="40"/>
      <x:c r="P40" s="40"/>
      <x:c r="Q40" s="31"/>
      <x:c r="R40" s="31"/>
      <x:c r="S40" s="36"/>
      <x:c r="T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40" t="str">
        <x:f>IF(COUNT(L41:P41)=0,"",ROUND(SUM(L41:P41)/COUNT(L41:P41)*20,0))</x:f>
      </x:c>
      <x:c r="L41" s="40"/>
      <x:c r="M41" s="40"/>
      <x:c r="N41" s="40"/>
      <x:c r="O41" s="40"/>
      <x:c r="P41" s="40"/>
      <x:c r="Q41" s="31"/>
      <x:c r="R41" s="31"/>
      <x:c r="S41" s="36"/>
      <x:c r="T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40" t="str">
        <x:f>IF(COUNT(L42:P42)=0,"",ROUND(SUM(L42:P42)/COUNT(L42:P42)*20,0))</x:f>
      </x:c>
      <x:c r="L42" s="40"/>
      <x:c r="M42" s="40"/>
      <x:c r="N42" s="40"/>
      <x:c r="O42" s="40"/>
      <x:c r="P42" s="40"/>
      <x:c r="Q42" s="31"/>
      <x:c r="R42" s="31"/>
      <x:c r="S42" s="36"/>
      <x:c r="T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40" t="str">
        <x:f>IF(COUNT(L43:P43)=0,"",ROUND(SUM(L43:P43)/COUNT(L43:P43)*20,0))</x:f>
      </x:c>
      <x:c r="L43" s="40"/>
      <x:c r="M43" s="40"/>
      <x:c r="N43" s="40"/>
      <x:c r="O43" s="40"/>
      <x:c r="P43" s="40"/>
      <x:c r="Q43" s="31"/>
      <x:c r="R43" s="31"/>
      <x:c r="S43" s="36"/>
      <x:c r="T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40" t="str">
        <x:f>IF(COUNT(L44:P44)=0,"",ROUND(SUM(L44:P44)/COUNT(L44:P44)*20,0))</x:f>
      </x:c>
      <x:c r="L44" s="40"/>
      <x:c r="M44" s="40"/>
      <x:c r="N44" s="40"/>
      <x:c r="O44" s="40"/>
      <x:c r="P44" s="40"/>
      <x:c r="Q44" s="31"/>
      <x:c r="R44" s="31"/>
      <x:c r="S44" s="36"/>
      <x:c r="T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40" t="str">
        <x:f>IF(COUNT(L45:P45)=0,"",ROUND(SUM(L45:P45)/COUNT(L45:P45)*20,0))</x:f>
      </x:c>
      <x:c r="L45" s="40"/>
      <x:c r="M45" s="40"/>
      <x:c r="N45" s="40"/>
      <x:c r="O45" s="40"/>
      <x:c r="P45" s="40"/>
      <x:c r="Q45" s="31"/>
      <x:c r="R45" s="31"/>
      <x:c r="S45" s="36"/>
      <x:c r="T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40" t="str">
        <x:f>IF(COUNT(L46:P46)=0,"",ROUND(SUM(L46:P46)/COUNT(L46:P46)*20,0))</x:f>
      </x:c>
      <x:c r="L46" s="40"/>
      <x:c r="M46" s="40"/>
      <x:c r="N46" s="40"/>
      <x:c r="O46" s="40"/>
      <x:c r="P46" s="40"/>
      <x:c r="Q46" s="31"/>
      <x:c r="R46" s="31"/>
      <x:c r="S46" s="36"/>
      <x:c r="T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40" t="str">
        <x:f>IF(COUNT(L47:P47)=0,"",ROUND(SUM(L47:P47)/COUNT(L47:P47)*20,0))</x:f>
      </x:c>
      <x:c r="L47" s="40"/>
      <x:c r="M47" s="40"/>
      <x:c r="N47" s="40"/>
      <x:c r="O47" s="40"/>
      <x:c r="P47" s="40"/>
      <x:c r="Q47" s="31"/>
      <x:c r="R47" s="31"/>
      <x:c r="S47" s="36"/>
      <x:c r="T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40" t="str">
        <x:f>IF(COUNT(L48:P48)=0,"",ROUND(SUM(L48:P48)/COUNT(L48:P48)*20,0))</x:f>
      </x:c>
      <x:c r="L48" s="40"/>
      <x:c r="M48" s="40"/>
      <x:c r="N48" s="40"/>
      <x:c r="O48" s="40"/>
      <x:c r="P48" s="40"/>
      <x:c r="Q48" s="31"/>
      <x:c r="R48" s="31"/>
      <x:c r="S48" s="36"/>
      <x:c r="T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40" t="str">
        <x:f>IF(COUNT(L49:P49)=0,"",ROUND(SUM(L49:P49)/COUNT(L49:P49)*20,0))</x:f>
      </x:c>
      <x:c r="L49" s="40"/>
      <x:c r="M49" s="40"/>
      <x:c r="N49" s="40"/>
      <x:c r="O49" s="40"/>
      <x:c r="P49" s="40"/>
      <x:c r="Q49" s="31"/>
      <x:c r="R49" s="31"/>
      <x:c r="S49" s="36"/>
      <x:c r="T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40" t="str">
        <x:f>IF(COUNT(L50:P50)=0,"",ROUND(SUM(L50:P50)/COUNT(L50:P50)*20,0))</x:f>
      </x:c>
      <x:c r="L50" s="40"/>
      <x:c r="M50" s="40"/>
      <x:c r="N50" s="40"/>
      <x:c r="O50" s="40"/>
      <x:c r="P50" s="40"/>
      <x:c r="Q50" s="31"/>
      <x:c r="R50" s="31"/>
      <x:c r="S50" s="36"/>
      <x:c r="T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40" t="str">
        <x:f>IF(COUNT(L51:P51)=0,"",ROUND(SUM(L51:P51)/COUNT(L51:P51)*20,0))</x:f>
      </x:c>
      <x:c r="L51" s="40"/>
      <x:c r="M51" s="40"/>
      <x:c r="N51" s="40"/>
      <x:c r="O51" s="40"/>
      <x:c r="P51" s="40"/>
      <x:c r="Q51" s="31"/>
      <x:c r="R51" s="31"/>
      <x:c r="S51" s="36"/>
      <x:c r="T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40" t="str">
        <x:f>IF(COUNT(L52:P52)=0,"",ROUND(SUM(L52:P52)/COUNT(L52:P52)*20,0))</x:f>
      </x:c>
      <x:c r="L52" s="40"/>
      <x:c r="M52" s="40"/>
      <x:c r="N52" s="40"/>
      <x:c r="O52" s="40"/>
      <x:c r="P52" s="40"/>
      <x:c r="Q52" s="31"/>
      <x:c r="R52" s="31"/>
      <x:c r="S52" s="36"/>
      <x:c r="T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40" t="str">
        <x:f>IF(COUNT(L53:P53)=0,"",ROUND(SUM(L53:P53)/COUNT(L53:P53)*20,0))</x:f>
      </x:c>
      <x:c r="L53" s="40"/>
      <x:c r="M53" s="40"/>
      <x:c r="N53" s="40"/>
      <x:c r="O53" s="40"/>
      <x:c r="P53" s="40"/>
      <x:c r="Q53" s="31"/>
      <x:c r="R53" s="31"/>
      <x:c r="S53" s="36"/>
      <x:c r="T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40" t="str">
        <x:f>IF(COUNT(L54:P54)=0,"",ROUND(SUM(L54:P54)/COUNT(L54:P54)*20,0))</x:f>
      </x:c>
      <x:c r="L54" s="40"/>
      <x:c r="M54" s="40"/>
      <x:c r="N54" s="40"/>
      <x:c r="O54" s="40"/>
      <x:c r="P54" s="40"/>
      <x:c r="Q54" s="31"/>
      <x:c r="R54" s="31"/>
      <x:c r="S54" s="36"/>
      <x:c r="T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40" t="str">
        <x:f>IF(COUNT(L55:P55)=0,"",ROUND(SUM(L55:P55)/COUNT(L55:P55)*20,0))</x:f>
      </x:c>
      <x:c r="L55" s="40"/>
      <x:c r="M55" s="40"/>
      <x:c r="N55" s="40"/>
      <x:c r="O55" s="40"/>
      <x:c r="P55" s="40"/>
      <x:c r="Q55" s="31"/>
      <x:c r="R55" s="31"/>
      <x:c r="S55" s="36"/>
      <x:c r="T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40" t="str">
        <x:f>IF(COUNT(L56:P56)=0,"",ROUND(SUM(L56:P56)/COUNT(L56:P56)*20,0))</x:f>
      </x:c>
      <x:c r="L56" s="40"/>
      <x:c r="M56" s="40"/>
      <x:c r="N56" s="40"/>
      <x:c r="O56" s="40"/>
      <x:c r="P56" s="40"/>
      <x:c r="Q56" s="31"/>
      <x:c r="R56" s="31"/>
      <x:c r="S56" s="36"/>
      <x:c r="T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40" t="str">
        <x:f>IF(COUNT(L57:P57)=0,"",ROUND(SUM(L57:P57)/COUNT(L57:P57)*20,0))</x:f>
      </x:c>
      <x:c r="L57" s="40"/>
      <x:c r="M57" s="40"/>
      <x:c r="N57" s="40"/>
      <x:c r="O57" s="40"/>
      <x:c r="P57" s="40"/>
      <x:c r="Q57" s="31"/>
      <x:c r="R57" s="31"/>
      <x:c r="S57" s="36"/>
      <x:c r="T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40" t="str">
        <x:f>IF(COUNT(L58:P58)=0,"",ROUND(SUM(L58:P58)/COUNT(L58:P58)*20,0))</x:f>
      </x:c>
      <x:c r="L58" s="40"/>
      <x:c r="M58" s="40"/>
      <x:c r="N58" s="40"/>
      <x:c r="O58" s="40"/>
      <x:c r="P58" s="40"/>
      <x:c r="Q58" s="31"/>
      <x:c r="R58" s="31"/>
      <x:c r="S58" s="36"/>
      <x:c r="T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40" t="str">
        <x:f>IF(COUNT(L59:P59)=0,"",ROUND(SUM(L59:P59)/COUNT(L59:P59)*20,0))</x:f>
      </x:c>
      <x:c r="L59" s="40"/>
      <x:c r="M59" s="40"/>
      <x:c r="N59" s="40"/>
      <x:c r="O59" s="40"/>
      <x:c r="P59" s="40"/>
      <x:c r="Q59" s="31"/>
      <x:c r="R59" s="31"/>
      <x:c r="S59" s="36"/>
      <x:c r="T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40" t="str">
        <x:f>IF(COUNT(L60:P60)=0,"",ROUND(SUM(L60:P60)/COUNT(L60:P60)*20,0))</x:f>
      </x:c>
      <x:c r="L60" s="40"/>
      <x:c r="M60" s="40"/>
      <x:c r="N60" s="40"/>
      <x:c r="O60" s="40"/>
      <x:c r="P60" s="40"/>
      <x:c r="Q60" s="31"/>
      <x:c r="R60" s="31"/>
      <x:c r="S60" s="36"/>
      <x:c r="T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40" t="str">
        <x:f>IF(COUNT(L61:P61)=0,"",ROUND(SUM(L61:P61)/COUNT(L61:P61)*20,0))</x:f>
      </x:c>
      <x:c r="L61" s="40"/>
      <x:c r="M61" s="40"/>
      <x:c r="N61" s="40"/>
      <x:c r="O61" s="40"/>
      <x:c r="P61" s="40"/>
      <x:c r="Q61" s="31"/>
      <x:c r="R61" s="31"/>
      <x:c r="S61" s="36"/>
      <x:c r="T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40" t="str">
        <x:f>IF(COUNT(L62:P62)=0,"",ROUND(SUM(L62:P62)/COUNT(L62:P62)*20,0))</x:f>
      </x:c>
      <x:c r="L62" s="40"/>
      <x:c r="M62" s="40"/>
      <x:c r="N62" s="40"/>
      <x:c r="O62" s="40"/>
      <x:c r="P62" s="40"/>
      <x:c r="Q62" s="31"/>
      <x:c r="R62" s="31"/>
      <x:c r="S62" s="36"/>
      <x:c r="T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40" t="str">
        <x:f>IF(COUNT(L63:P63)=0,"",ROUND(SUM(L63:P63)/COUNT(L63:P63)*20,0))</x:f>
      </x:c>
      <x:c r="L63" s="40"/>
      <x:c r="M63" s="40"/>
      <x:c r="N63" s="40"/>
      <x:c r="O63" s="40"/>
      <x:c r="P63" s="40"/>
      <x:c r="Q63" s="31"/>
      <x:c r="R63" s="31"/>
      <x:c r="S63" s="36"/>
      <x:c r="T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40" t="str">
        <x:f>IF(COUNT(L64:P64)=0,"",ROUND(SUM(L64:P64)/COUNT(L64:P64)*20,0))</x:f>
      </x:c>
      <x:c r="L64" s="40"/>
      <x:c r="M64" s="40"/>
      <x:c r="N64" s="40"/>
      <x:c r="O64" s="40"/>
      <x:c r="P64" s="40"/>
      <x:c r="Q64" s="31"/>
      <x:c r="R64" s="31"/>
      <x:c r="S64" s="36"/>
      <x:c r="T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40" t="str">
        <x:f>IF(COUNT(L65:P65)=0,"",ROUND(SUM(L65:P65)/COUNT(L65:P65)*20,0))</x:f>
      </x:c>
      <x:c r="L65" s="40"/>
      <x:c r="M65" s="40"/>
      <x:c r="N65" s="40"/>
      <x:c r="O65" s="40"/>
      <x:c r="P65" s="40"/>
      <x:c r="Q65" s="31"/>
      <x:c r="R65" s="31"/>
      <x:c r="S65" s="36"/>
      <x:c r="T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40" t="str">
        <x:f>IF(COUNT(L66:P66)=0,"",ROUND(SUM(L66:P66)/COUNT(L66:P66)*20,0))</x:f>
      </x:c>
      <x:c r="L66" s="40"/>
      <x:c r="M66" s="40"/>
      <x:c r="N66" s="40"/>
      <x:c r="O66" s="40"/>
      <x:c r="P66" s="40"/>
      <x:c r="Q66" s="31"/>
      <x:c r="R66" s="31"/>
      <x:c r="S66" s="36"/>
      <x:c r="T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40" t="str">
        <x:f>IF(COUNT(L67:P67)=0,"",ROUND(SUM(L67:P67)/COUNT(L67:P67)*20,0))</x:f>
      </x:c>
      <x:c r="L67" s="40"/>
      <x:c r="M67" s="40"/>
      <x:c r="N67" s="40"/>
      <x:c r="O67" s="40"/>
      <x:c r="P67" s="40"/>
      <x:c r="Q67" s="31"/>
      <x:c r="R67" s="31"/>
      <x:c r="S67" s="36"/>
      <x:c r="T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40" t="str">
        <x:f>IF(COUNT(L68:P68)=0,"",ROUND(SUM(L68:P68)/COUNT(L68:P68)*20,0))</x:f>
      </x:c>
      <x:c r="L68" s="40"/>
      <x:c r="M68" s="40"/>
      <x:c r="N68" s="40"/>
      <x:c r="O68" s="40"/>
      <x:c r="P68" s="40"/>
      <x:c r="Q68" s="31"/>
      <x:c r="R68" s="31"/>
      <x:c r="S68" s="36"/>
      <x:c r="T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40" t="str">
        <x:f>IF(COUNT(L69:P69)=0,"",ROUND(SUM(L69:P69)/COUNT(L69:P69)*20,0))</x:f>
      </x:c>
      <x:c r="L69" s="40"/>
      <x:c r="M69" s="40"/>
      <x:c r="N69" s="40"/>
      <x:c r="O69" s="40"/>
      <x:c r="P69" s="40"/>
      <x:c r="Q69" s="31"/>
      <x:c r="R69" s="31"/>
      <x:c r="S69" s="36"/>
      <x:c r="T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40" t="str">
        <x:f>IF(COUNT(L70:P70)=0,"",ROUND(SUM(L70:P70)/COUNT(L70:P70)*20,0))</x:f>
      </x:c>
      <x:c r="L70" s="40"/>
      <x:c r="M70" s="40"/>
      <x:c r="N70" s="40"/>
      <x:c r="O70" s="40"/>
      <x:c r="P70" s="40"/>
      <x:c r="Q70" s="31"/>
      <x:c r="R70" s="31"/>
      <x:c r="S70" s="36"/>
      <x:c r="T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40" t="str">
        <x:f>IF(COUNT(L71:P71)=0,"",ROUND(SUM(L71:P71)/COUNT(L71:P71)*20,0))</x:f>
      </x:c>
      <x:c r="L71" s="40"/>
      <x:c r="M71" s="40"/>
      <x:c r="N71" s="40"/>
      <x:c r="O71" s="40"/>
      <x:c r="P71" s="40"/>
      <x:c r="Q71" s="31"/>
      <x:c r="R71" s="31"/>
      <x:c r="S71" s="36"/>
      <x:c r="T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40" t="str">
        <x:f>IF(COUNT(L72:P72)=0,"",ROUND(SUM(L72:P72)/COUNT(L72:P72)*20,0))</x:f>
      </x:c>
      <x:c r="L72" s="40"/>
      <x:c r="M72" s="40"/>
      <x:c r="N72" s="40"/>
      <x:c r="O72" s="40"/>
      <x:c r="P72" s="40"/>
      <x:c r="Q72" s="31"/>
      <x:c r="R72" s="31"/>
      <x:c r="S72" s="36"/>
      <x:c r="T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40" t="str">
        <x:f>IF(COUNT(L73:P73)=0,"",ROUND(SUM(L73:P73)/COUNT(L73:P73)*20,0))</x:f>
      </x:c>
      <x:c r="L73" s="40"/>
      <x:c r="M73" s="40"/>
      <x:c r="N73" s="40"/>
      <x:c r="O73" s="40"/>
      <x:c r="P73" s="40"/>
      <x:c r="Q73" s="31"/>
      <x:c r="R73" s="31"/>
      <x:c r="S73" s="36"/>
      <x:c r="T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40" t="str">
        <x:f>IF(COUNT(L74:P74)=0,"",ROUND(SUM(L74:P74)/COUNT(L74:P74)*20,0))</x:f>
      </x:c>
      <x:c r="L74" s="40"/>
      <x:c r="M74" s="40"/>
      <x:c r="N74" s="40"/>
      <x:c r="O74" s="40"/>
      <x:c r="P74" s="40"/>
      <x:c r="Q74" s="31"/>
      <x:c r="R74" s="31"/>
      <x:c r="S74" s="36"/>
      <x:c r="T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40" t="str">
        <x:f>IF(COUNT(L75:P75)=0,"",ROUND(SUM(L75:P75)/COUNT(L75:P75)*20,0))</x:f>
      </x:c>
      <x:c r="L75" s="40"/>
      <x:c r="M75" s="40"/>
      <x:c r="N75" s="40"/>
      <x:c r="O75" s="40"/>
      <x:c r="P75" s="40"/>
      <x:c r="Q75" s="31"/>
      <x:c r="R75" s="31"/>
      <x:c r="S75" s="36"/>
      <x:c r="T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40" t="str">
        <x:f>IF(COUNT(L76:P76)=0,"",ROUND(SUM(L76:P76)/COUNT(L76:P76)*20,0))</x:f>
      </x:c>
      <x:c r="L76" s="40"/>
      <x:c r="M76" s="40"/>
      <x:c r="N76" s="40"/>
      <x:c r="O76" s="40"/>
      <x:c r="P76" s="40"/>
      <x:c r="Q76" s="31"/>
      <x:c r="R76" s="31"/>
      <x:c r="S76" s="36"/>
      <x:c r="T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40" t="str">
        <x:f>IF(COUNT(L77:P77)=0,"",ROUND(SUM(L77:P77)/COUNT(L77:P77)*20,0))</x:f>
      </x:c>
      <x:c r="L77" s="40"/>
      <x:c r="M77" s="40"/>
      <x:c r="N77" s="40"/>
      <x:c r="O77" s="40"/>
      <x:c r="P77" s="40"/>
      <x:c r="Q77" s="31"/>
      <x:c r="R77" s="31"/>
      <x:c r="S77" s="36"/>
      <x:c r="T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40" t="str">
        <x:f>IF(COUNT(L78:P78)=0,"",ROUND(SUM(L78:P78)/COUNT(L78:P78)*20,0))</x:f>
      </x:c>
      <x:c r="L78" s="40"/>
      <x:c r="M78" s="40"/>
      <x:c r="N78" s="40"/>
      <x:c r="O78" s="40"/>
      <x:c r="P78" s="40"/>
      <x:c r="Q78" s="31"/>
      <x:c r="R78" s="31"/>
      <x:c r="S78" s="36"/>
      <x:c r="T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40" t="str">
        <x:f>IF(COUNT(L79:P79)=0,"",ROUND(SUM(L79:P79)/COUNT(L79:P79)*20,0))</x:f>
      </x:c>
      <x:c r="L79" s="40"/>
      <x:c r="M79" s="40"/>
      <x:c r="N79" s="40"/>
      <x:c r="O79" s="40"/>
      <x:c r="P79" s="40"/>
      <x:c r="Q79" s="31"/>
      <x:c r="R79" s="31"/>
      <x:c r="S79" s="36"/>
      <x:c r="T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40" t="str">
        <x:f>IF(COUNT(L80:P80)=0,"",ROUND(SUM(L80:P80)/COUNT(L80:P80)*20,0))</x:f>
      </x:c>
      <x:c r="L80" s="40"/>
      <x:c r="M80" s="40"/>
      <x:c r="N80" s="40"/>
      <x:c r="O80" s="40"/>
      <x:c r="P80" s="40"/>
      <x:c r="Q80" s="31"/>
      <x:c r="R80" s="31"/>
      <x:c r="S80" s="36"/>
      <x:c r="T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40" t="str">
        <x:f>IF(COUNT(L81:P81)=0,"",ROUND(SUM(L81:P81)/COUNT(L81:P81)*20,0))</x:f>
      </x:c>
      <x:c r="L81" s="40"/>
      <x:c r="M81" s="40"/>
      <x:c r="N81" s="40"/>
      <x:c r="O81" s="40"/>
      <x:c r="P81" s="40"/>
      <x:c r="Q81" s="31"/>
      <x:c r="R81" s="31"/>
      <x:c r="S81" s="36"/>
      <x:c r="T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40" t="str">
        <x:f>IF(COUNT(L82:P82)=0,"",ROUND(SUM(L82:P82)/COUNT(L82:P82)*20,0))</x:f>
      </x:c>
      <x:c r="L82" s="40"/>
      <x:c r="M82" s="40"/>
      <x:c r="N82" s="40"/>
      <x:c r="O82" s="40"/>
      <x:c r="P82" s="40"/>
      <x:c r="Q82" s="31"/>
      <x:c r="R82" s="31"/>
      <x:c r="S82" s="36"/>
      <x:c r="T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40" t="str">
        <x:f>IF(COUNT(L83:P83)=0,"",ROUND(SUM(L83:P83)/COUNT(L83:P83)*20,0))</x:f>
      </x:c>
      <x:c r="L83" s="40"/>
      <x:c r="M83" s="40"/>
      <x:c r="N83" s="40"/>
      <x:c r="O83" s="40"/>
      <x:c r="P83" s="40"/>
      <x:c r="Q83" s="31"/>
      <x:c r="R83" s="31"/>
      <x:c r="S83" s="36"/>
      <x:c r="T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40" t="str">
        <x:f>IF(COUNT(L84:P84)=0,"",ROUND(SUM(L84:P84)/COUNT(L84:P84)*20,0))</x:f>
      </x:c>
      <x:c r="L84" s="40"/>
      <x:c r="M84" s="40"/>
      <x:c r="N84" s="40"/>
      <x:c r="O84" s="40"/>
      <x:c r="P84" s="40"/>
      <x:c r="Q84" s="31"/>
      <x:c r="R84" s="31"/>
      <x:c r="S84" s="36"/>
      <x:c r="T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40" t="str">
        <x:f>IF(COUNT(L85:P85)=0,"",ROUND(SUM(L85:P85)/COUNT(L85:P85)*20,0))</x:f>
      </x:c>
      <x:c r="L85" s="40"/>
      <x:c r="M85" s="40"/>
      <x:c r="N85" s="40"/>
      <x:c r="O85" s="40"/>
      <x:c r="P85" s="40"/>
      <x:c r="Q85" s="31"/>
      <x:c r="R85" s="31"/>
      <x:c r="S85" s="36"/>
      <x:c r="T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40" t="str">
        <x:f>IF(COUNT(L86:P86)=0,"",ROUND(SUM(L86:P86)/COUNT(L86:P86)*20,0))</x:f>
      </x:c>
      <x:c r="L86" s="40"/>
      <x:c r="M86" s="40"/>
      <x:c r="N86" s="40"/>
      <x:c r="O86" s="40"/>
      <x:c r="P86" s="40"/>
      <x:c r="Q86" s="31"/>
      <x:c r="R86" s="31"/>
      <x:c r="S86" s="36"/>
      <x:c r="T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40" t="str">
        <x:f>IF(COUNT(L87:P87)=0,"",ROUND(SUM(L87:P87)/COUNT(L87:P87)*20,0))</x:f>
      </x:c>
      <x:c r="L87" s="40"/>
      <x:c r="M87" s="40"/>
      <x:c r="N87" s="40"/>
      <x:c r="O87" s="40"/>
      <x:c r="P87" s="40"/>
      <x:c r="Q87" s="31"/>
      <x:c r="R87" s="31"/>
      <x:c r="S87" s="36"/>
      <x:c r="T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40" t="str">
        <x:f>IF(COUNT(L88:P88)=0,"",ROUND(SUM(L88:P88)/COUNT(L88:P88)*20,0))</x:f>
      </x:c>
      <x:c r="L88" s="40"/>
      <x:c r="M88" s="40"/>
      <x:c r="N88" s="40"/>
      <x:c r="O88" s="40"/>
      <x:c r="P88" s="40"/>
      <x:c r="Q88" s="31"/>
      <x:c r="R88" s="31"/>
      <x:c r="S88" s="36"/>
      <x:c r="T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40" t="str">
        <x:f>IF(COUNT(L89:P89)=0,"",ROUND(SUM(L89:P89)/COUNT(L89:P89)*20,0))</x:f>
      </x:c>
      <x:c r="L89" s="40"/>
      <x:c r="M89" s="40"/>
      <x:c r="N89" s="40"/>
      <x:c r="O89" s="40"/>
      <x:c r="P89" s="40"/>
      <x:c r="Q89" s="31"/>
      <x:c r="R89" s="31"/>
      <x:c r="S89" s="36"/>
      <x:c r="T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40" t="str">
        <x:f>IF(COUNT(L90:P90)=0,"",ROUND(SUM(L90:P90)/COUNT(L90:P90)*20,0))</x:f>
      </x:c>
      <x:c r="L90" s="40"/>
      <x:c r="M90" s="40"/>
      <x:c r="N90" s="40"/>
      <x:c r="O90" s="40"/>
      <x:c r="P90" s="40"/>
      <x:c r="Q90" s="31"/>
      <x:c r="R90" s="31"/>
      <x:c r="S90" s="36"/>
      <x:c r="T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40" t="str">
        <x:f>IF(COUNT(L91:P91)=0,"",ROUND(SUM(L91:P91)/COUNT(L91:P91)*20,0))</x:f>
      </x:c>
      <x:c r="L91" s="40"/>
      <x:c r="M91" s="40"/>
      <x:c r="N91" s="40"/>
      <x:c r="O91" s="40"/>
      <x:c r="P91" s="40"/>
      <x:c r="Q91" s="31"/>
      <x:c r="R91" s="31"/>
      <x:c r="S91" s="36"/>
      <x:c r="T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40" t="str">
        <x:f>IF(COUNT(L92:P92)=0,"",ROUND(SUM(L92:P92)/COUNT(L92:P92)*20,0))</x:f>
      </x:c>
      <x:c r="L92" s="40"/>
      <x:c r="M92" s="40"/>
      <x:c r="N92" s="40"/>
      <x:c r="O92" s="40"/>
      <x:c r="P92" s="40"/>
      <x:c r="Q92" s="31"/>
      <x:c r="R92" s="31"/>
      <x:c r="S92" s="36"/>
      <x:c r="T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40" t="str">
        <x:f>IF(COUNT(L93:P93)=0,"",ROUND(SUM(L93:P93)/COUNT(L93:P93)*20,0))</x:f>
      </x:c>
      <x:c r="L93" s="40"/>
      <x:c r="M93" s="40"/>
      <x:c r="N93" s="40"/>
      <x:c r="O93" s="40"/>
      <x:c r="P93" s="40"/>
      <x:c r="Q93" s="31"/>
      <x:c r="R93" s="31"/>
      <x:c r="S93" s="36"/>
      <x:c r="T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40" t="str">
        <x:f>IF(COUNT(L94:P94)=0,"",ROUND(SUM(L94:P94)/COUNT(L94:P94)*20,0))</x:f>
      </x:c>
      <x:c r="L94" s="40"/>
      <x:c r="M94" s="40"/>
      <x:c r="N94" s="40"/>
      <x:c r="O94" s="40"/>
      <x:c r="P94" s="40"/>
      <x:c r="Q94" s="31"/>
      <x:c r="R94" s="31"/>
      <x:c r="S94" s="36"/>
      <x:c r="T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40" t="str">
        <x:f>IF(COUNT(L95:P95)=0,"",ROUND(SUM(L95:P95)/COUNT(L95:P95)*20,0))</x:f>
      </x:c>
      <x:c r="L95" s="40"/>
      <x:c r="M95" s="40"/>
      <x:c r="N95" s="40"/>
      <x:c r="O95" s="40"/>
      <x:c r="P95" s="40"/>
      <x:c r="Q95" s="31"/>
      <x:c r="R95" s="31"/>
      <x:c r="S95" s="36"/>
      <x:c r="T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40" t="str">
        <x:f>IF(COUNT(L96:P96)=0,"",ROUND(SUM(L96:P96)/COUNT(L96:P96)*20,0))</x:f>
      </x:c>
      <x:c r="L96" s="40"/>
      <x:c r="M96" s="40"/>
      <x:c r="N96" s="40"/>
      <x:c r="O96" s="40"/>
      <x:c r="P96" s="40"/>
      <x:c r="Q96" s="31"/>
      <x:c r="R96" s="31"/>
      <x:c r="S96" s="36"/>
      <x:c r="T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40" t="str">
        <x:f>IF(COUNT(L97:P97)=0,"",ROUND(SUM(L97:P97)/COUNT(L97:P97)*20,0))</x:f>
      </x:c>
      <x:c r="L97" s="40"/>
      <x:c r="M97" s="40"/>
      <x:c r="N97" s="40"/>
      <x:c r="O97" s="40"/>
      <x:c r="P97" s="40"/>
      <x:c r="Q97" s="31"/>
      <x:c r="R97" s="31"/>
      <x:c r="S97" s="36"/>
      <x:c r="T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40" t="str">
        <x:f>IF(COUNT(L98:P98)=0,"",ROUND(SUM(L98:P98)/COUNT(L98:P98)*20,0))</x:f>
      </x:c>
      <x:c r="L98" s="40"/>
      <x:c r="M98" s="40"/>
      <x:c r="N98" s="40"/>
      <x:c r="O98" s="40"/>
      <x:c r="P98" s="40"/>
      <x:c r="Q98" s="31"/>
      <x:c r="R98" s="31"/>
      <x:c r="S98" s="36"/>
      <x:c r="T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40" t="str">
        <x:f>IF(COUNT(L99:P99)=0,"",ROUND(SUM(L99:P99)/COUNT(L99:P99)*20,0))</x:f>
      </x:c>
      <x:c r="L99" s="40"/>
      <x:c r="M99" s="40"/>
      <x:c r="N99" s="40"/>
      <x:c r="O99" s="40"/>
      <x:c r="P99" s="40"/>
      <x:c r="Q99" s="31"/>
      <x:c r="R99" s="31"/>
      <x:c r="S99" s="36"/>
      <x:c r="T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40" t="str">
        <x:f>IF(COUNT(L100:P100)=0,"",ROUND(SUM(L100:P100)/COUNT(L100:P100)*20,0))</x:f>
      </x:c>
      <x:c r="L100" s="40"/>
      <x:c r="M100" s="40"/>
      <x:c r="N100" s="40"/>
      <x:c r="O100" s="40"/>
      <x:c r="P100" s="40"/>
      <x:c r="Q100" s="31"/>
      <x:c r="R100" s="31"/>
      <x:c r="S100" s="36"/>
      <x:c r="T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40" t="str">
        <x:f>IF(COUNT(L101:P101)=0,"",ROUND(SUM(L101:P101)/COUNT(L101:P101)*20,0))</x:f>
      </x:c>
      <x:c r="L101" s="40"/>
      <x:c r="M101" s="40"/>
      <x:c r="N101" s="40"/>
      <x:c r="O101" s="40"/>
      <x:c r="P101" s="40"/>
      <x:c r="Q101" s="31"/>
      <x:c r="R101" s="31"/>
      <x:c r="S101" s="36"/>
      <x:c r="T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40" t="str">
        <x:f>IF(COUNT(L102:P102)=0,"",ROUND(SUM(L102:P102)/COUNT(L102:P102)*20,0))</x:f>
      </x:c>
      <x:c r="L102" s="40"/>
      <x:c r="M102" s="40"/>
      <x:c r="N102" s="40"/>
      <x:c r="O102" s="40"/>
      <x:c r="P102" s="40"/>
      <x:c r="Q102" s="31"/>
      <x:c r="R102" s="31"/>
      <x:c r="S102" s="36"/>
      <x:c r="T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40" t="str">
        <x:f>IF(COUNT(L103:P103)=0,"",ROUND(SUM(L103:P103)/COUNT(L103:P103)*20,0))</x:f>
      </x:c>
      <x:c r="L103" s="40"/>
      <x:c r="M103" s="40"/>
      <x:c r="N103" s="40"/>
      <x:c r="O103" s="40"/>
      <x:c r="P103" s="40"/>
      <x:c r="Q103" s="31"/>
      <x:c r="R103" s="31"/>
      <x:c r="S103" s="36"/>
      <x:c r="T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40" t="str">
        <x:f>IF(COUNT(L104:P104)=0,"",ROUND(SUM(L104:P104)/COUNT(L104:P104)*20,0))</x:f>
      </x:c>
      <x:c r="L104" s="40"/>
      <x:c r="M104" s="40"/>
      <x:c r="N104" s="40"/>
      <x:c r="O104" s="40"/>
      <x:c r="P104" s="40"/>
      <x:c r="Q104" s="31"/>
      <x:c r="R104" s="31"/>
      <x:c r="S104" s="36"/>
      <x:c r="T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40" t="str">
        <x:f>IF(COUNT(L105:P105)=0,"",ROUND(SUM(L105:P105)/COUNT(L105:P105)*20,0))</x:f>
      </x:c>
      <x:c r="L105" s="40"/>
      <x:c r="M105" s="40"/>
      <x:c r="N105" s="40"/>
      <x:c r="O105" s="40"/>
      <x:c r="P105" s="40"/>
      <x:c r="Q105" s="31"/>
      <x:c r="R105" s="31"/>
      <x:c r="S105" s="36"/>
      <x:c r="T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40" t="str">
        <x:f>IF(COUNT(L106:P106)=0,"",ROUND(SUM(L106:P106)/COUNT(L106:P106)*20,0))</x:f>
      </x:c>
      <x:c r="L106" s="40"/>
      <x:c r="M106" s="40"/>
      <x:c r="N106" s="40"/>
      <x:c r="O106" s="40"/>
      <x:c r="P106" s="40"/>
      <x:c r="Q106" s="31"/>
      <x:c r="R106" s="31"/>
      <x:c r="S106" s="36"/>
      <x:c r="T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40" t="str">
        <x:f>IF(COUNT(L107:P107)=0,"",ROUND(SUM(L107:P107)/COUNT(L107:P107)*20,0))</x:f>
      </x:c>
      <x:c r="L107" s="40"/>
      <x:c r="M107" s="40"/>
      <x:c r="N107" s="40"/>
      <x:c r="O107" s="40"/>
      <x:c r="P107" s="40"/>
      <x:c r="Q107" s="31"/>
      <x:c r="R107" s="31"/>
      <x:c r="S107" s="36"/>
      <x:c r="T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40" t="str">
        <x:f>IF(COUNT(L108:P108)=0,"",ROUND(SUM(L108:P108)/COUNT(L108:P108)*20,0))</x:f>
      </x:c>
      <x:c r="L108" s="40"/>
      <x:c r="M108" s="40"/>
      <x:c r="N108" s="40"/>
      <x:c r="O108" s="40"/>
      <x:c r="P108" s="40"/>
      <x:c r="Q108" s="31"/>
      <x:c r="R108" s="31"/>
      <x:c r="S108" s="36"/>
      <x:c r="T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40" t="str">
        <x:f>IF(COUNT(L109:P109)=0,"",ROUND(SUM(L109:P109)/COUNT(L109:P109)*20,0))</x:f>
      </x:c>
      <x:c r="L109" s="40"/>
      <x:c r="M109" s="40"/>
      <x:c r="N109" s="40"/>
      <x:c r="O109" s="40"/>
      <x:c r="P109" s="40"/>
      <x:c r="Q109" s="31"/>
      <x:c r="R109" s="31"/>
      <x:c r="S109" s="36"/>
      <x:c r="T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40" t="str">
        <x:f>IF(COUNT(L110:P110)=0,"",ROUND(SUM(L110:P110)/COUNT(L110:P110)*20,0))</x:f>
      </x:c>
      <x:c r="L110" s="40"/>
      <x:c r="M110" s="40"/>
      <x:c r="N110" s="40"/>
      <x:c r="O110" s="40"/>
      <x:c r="P110" s="40"/>
      <x:c r="Q110" s="31"/>
      <x:c r="R110" s="31"/>
      <x:c r="S110" s="36"/>
      <x:c r="T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40" t="str">
        <x:f>IF(COUNT(L111:P111)=0,"",ROUND(SUM(L111:P111)/COUNT(L111:P111)*20,0))</x:f>
      </x:c>
      <x:c r="L111" s="40"/>
      <x:c r="M111" s="40"/>
      <x:c r="N111" s="40"/>
      <x:c r="O111" s="40"/>
      <x:c r="P111" s="40"/>
      <x:c r="Q111" s="31"/>
      <x:c r="R111" s="31"/>
      <x:c r="S111" s="36"/>
      <x:c r="T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40" t="str">
        <x:f>IF(COUNT(L112:P112)=0,"",ROUND(SUM(L112:P112)/COUNT(L112:P112)*20,0))</x:f>
      </x:c>
      <x:c r="L112" s="40"/>
      <x:c r="M112" s="40"/>
      <x:c r="N112" s="40"/>
      <x:c r="O112" s="40"/>
      <x:c r="P112" s="40"/>
      <x:c r="Q112" s="31"/>
      <x:c r="R112" s="31"/>
      <x:c r="S112" s="36"/>
      <x:c r="T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40" t="str">
        <x:f>IF(COUNT(L113:P113)=0,"",ROUND(SUM(L113:P113)/COUNT(L113:P113)*20,0))</x:f>
      </x:c>
      <x:c r="L113" s="40"/>
      <x:c r="M113" s="40"/>
      <x:c r="N113" s="40"/>
      <x:c r="O113" s="40"/>
      <x:c r="P113" s="40"/>
      <x:c r="Q113" s="31"/>
      <x:c r="R113" s="31"/>
      <x:c r="S113" s="36"/>
      <x:c r="T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40" t="str">
        <x:f>IF(COUNT(L114:P114)=0,"",ROUND(SUM(L114:P114)/COUNT(L114:P114)*20,0))</x:f>
      </x:c>
      <x:c r="L114" s="40"/>
      <x:c r="M114" s="40"/>
      <x:c r="N114" s="40"/>
      <x:c r="O114" s="40"/>
      <x:c r="P114" s="40"/>
      <x:c r="Q114" s="31"/>
      <x:c r="R114" s="31"/>
      <x:c r="S114" s="36"/>
      <x:c r="T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40" t="str">
        <x:f>IF(COUNT(L115:P115)=0,"",ROUND(SUM(L115:P115)/COUNT(L115:P115)*20,0))</x:f>
      </x:c>
      <x:c r="L115" s="40"/>
      <x:c r="M115" s="40"/>
      <x:c r="N115" s="40"/>
      <x:c r="O115" s="40"/>
      <x:c r="P115" s="40"/>
      <x:c r="Q115" s="31"/>
      <x:c r="R115" s="31"/>
      <x:c r="S115" s="36"/>
      <x:c r="T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40" t="str">
        <x:f>IF(COUNT(L116:P116)=0,"",ROUND(SUM(L116:P116)/COUNT(L116:P116)*20,0))</x:f>
      </x:c>
      <x:c r="L116" s="40"/>
      <x:c r="M116" s="40"/>
      <x:c r="N116" s="40"/>
      <x:c r="O116" s="40"/>
      <x:c r="P116" s="40"/>
      <x:c r="Q116" s="31"/>
      <x:c r="R116" s="31"/>
      <x:c r="S116" s="36"/>
      <x:c r="T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40" t="str">
        <x:f>IF(COUNT(L117:P117)=0,"",ROUND(SUM(L117:P117)/COUNT(L117:P117)*20,0))</x:f>
      </x:c>
      <x:c r="L117" s="40"/>
      <x:c r="M117" s="40"/>
      <x:c r="N117" s="40"/>
      <x:c r="O117" s="40"/>
      <x:c r="P117" s="40"/>
      <x:c r="Q117" s="31"/>
      <x:c r="R117" s="31"/>
      <x:c r="S117" s="36"/>
      <x:c r="T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40" t="str">
        <x:f>IF(COUNT(L118:P118)=0,"",ROUND(SUM(L118:P118)/COUNT(L118:P118)*20,0))</x:f>
      </x:c>
      <x:c r="L118" s="40"/>
      <x:c r="M118" s="40"/>
      <x:c r="N118" s="40"/>
      <x:c r="O118" s="40"/>
      <x:c r="P118" s="40"/>
      <x:c r="Q118" s="31"/>
      <x:c r="R118" s="31"/>
      <x:c r="S118" s="36"/>
      <x:c r="T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40" t="str">
        <x:f>IF(COUNT(L119:P119)=0,"",ROUND(SUM(L119:P119)/COUNT(L119:P119)*20,0))</x:f>
      </x:c>
      <x:c r="L119" s="40"/>
      <x:c r="M119" s="40"/>
      <x:c r="N119" s="40"/>
      <x:c r="O119" s="40"/>
      <x:c r="P119" s="40"/>
      <x:c r="Q119" s="31"/>
      <x:c r="R119" s="31"/>
      <x:c r="S119" s="36"/>
      <x:c r="T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40" t="str">
        <x:f>IF(COUNT(L120:P120)=0,"",ROUND(SUM(L120:P120)/COUNT(L120:P120)*20,0))</x:f>
      </x:c>
      <x:c r="L120" s="40"/>
      <x:c r="M120" s="40"/>
      <x:c r="N120" s="40"/>
      <x:c r="O120" s="40"/>
      <x:c r="P120" s="40"/>
      <x:c r="Q120" s="31"/>
      <x:c r="R120" s="31"/>
      <x:c r="S120" s="36"/>
      <x:c r="T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40" t="str">
        <x:f>IF(COUNT(L121:P121)=0,"",ROUND(SUM(L121:P121)/COUNT(L121:P121)*20,0))</x:f>
      </x:c>
      <x:c r="L121" s="40"/>
      <x:c r="M121" s="40"/>
      <x:c r="N121" s="40"/>
      <x:c r="O121" s="40"/>
      <x:c r="P121" s="40"/>
      <x:c r="Q121" s="31"/>
      <x:c r="R121" s="31"/>
      <x:c r="S121" s="36"/>
      <x:c r="T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40" t="str">
        <x:f>IF(COUNT(L122:P122)=0,"",ROUND(SUM(L122:P122)/COUNT(L122:P122)*20,0))</x:f>
      </x:c>
      <x:c r="L122" s="40"/>
      <x:c r="M122" s="40"/>
      <x:c r="N122" s="40"/>
      <x:c r="O122" s="40"/>
      <x:c r="P122" s="40"/>
      <x:c r="Q122" s="31"/>
      <x:c r="R122" s="31"/>
      <x:c r="S122" s="36"/>
      <x:c r="T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40" t="str">
        <x:f>IF(COUNT(L123:P123)=0,"",ROUND(SUM(L123:P123)/COUNT(L123:P123)*20,0))</x:f>
      </x:c>
      <x:c r="L123" s="40"/>
      <x:c r="M123" s="40"/>
      <x:c r="N123" s="40"/>
      <x:c r="O123" s="40"/>
      <x:c r="P123" s="40"/>
      <x:c r="Q123" s="31"/>
      <x:c r="R123" s="31"/>
      <x:c r="S123" s="36"/>
      <x:c r="T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40" t="str">
        <x:f>IF(COUNT(L124:P124)=0,"",ROUND(SUM(L124:P124)/COUNT(L124:P124)*20,0))</x:f>
      </x:c>
      <x:c r="L124" s="40"/>
      <x:c r="M124" s="40"/>
      <x:c r="N124" s="40"/>
      <x:c r="O124" s="40"/>
      <x:c r="P124" s="40"/>
      <x:c r="Q124" s="31"/>
      <x:c r="R124" s="31"/>
      <x:c r="S124" s="36"/>
      <x:c r="T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40" t="str">
        <x:f>IF(COUNT(L125:P125)=0,"",ROUND(SUM(L125:P125)/COUNT(L125:P125)*20,0))</x:f>
      </x:c>
      <x:c r="L125" s="40"/>
      <x:c r="M125" s="40"/>
      <x:c r="N125" s="40"/>
      <x:c r="O125" s="40"/>
      <x:c r="P125" s="40"/>
      <x:c r="Q125" s="31"/>
      <x:c r="R125" s="31"/>
      <x:c r="S125" s="36"/>
      <x:c r="T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40" t="str">
        <x:f>IF(COUNT(L126:P126)=0,"",ROUND(SUM(L126:P126)/COUNT(L126:P126)*20,0))</x:f>
      </x:c>
      <x:c r="L126" s="40"/>
      <x:c r="M126" s="40"/>
      <x:c r="N126" s="40"/>
      <x:c r="O126" s="40"/>
      <x:c r="P126" s="40"/>
      <x:c r="Q126" s="31"/>
      <x:c r="R126" s="31"/>
      <x:c r="S126" s="36"/>
      <x:c r="T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40" t="str">
        <x:f>IF(COUNT(L127:P127)=0,"",ROUND(SUM(L127:P127)/COUNT(L127:P127)*20,0))</x:f>
      </x:c>
      <x:c r="L127" s="40"/>
      <x:c r="M127" s="40"/>
      <x:c r="N127" s="40"/>
      <x:c r="O127" s="40"/>
      <x:c r="P127" s="40"/>
      <x:c r="Q127" s="31"/>
      <x:c r="R127" s="31"/>
      <x:c r="S127" s="36"/>
      <x:c r="T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40" t="str">
        <x:f>IF(COUNT(L128:P128)=0,"",ROUND(SUM(L128:P128)/COUNT(L128:P128)*20,0))</x:f>
      </x:c>
      <x:c r="L128" s="40"/>
      <x:c r="M128" s="40"/>
      <x:c r="N128" s="40"/>
      <x:c r="O128" s="40"/>
      <x:c r="P128" s="40"/>
      <x:c r="Q128" s="31"/>
      <x:c r="R128" s="31"/>
      <x:c r="S128" s="36"/>
      <x:c r="T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40" t="str">
        <x:f>IF(COUNT(L129:P129)=0,"",ROUND(SUM(L129:P129)/COUNT(L129:P129)*20,0))</x:f>
      </x:c>
      <x:c r="L129" s="40"/>
      <x:c r="M129" s="40"/>
      <x:c r="N129" s="40"/>
      <x:c r="O129" s="40"/>
      <x:c r="P129" s="40"/>
      <x:c r="Q129" s="31"/>
      <x:c r="R129" s="31"/>
      <x:c r="S129" s="36"/>
      <x:c r="T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40" t="str">
        <x:f>IF(COUNT(L130:P130)=0,"",ROUND(SUM(L130:P130)/COUNT(L130:P130)*20,0))</x:f>
      </x:c>
      <x:c r="L130" s="40"/>
      <x:c r="M130" s="40"/>
      <x:c r="N130" s="40"/>
      <x:c r="O130" s="40"/>
      <x:c r="P130" s="40"/>
      <x:c r="Q130" s="31"/>
      <x:c r="R130" s="31"/>
      <x:c r="S130" s="36"/>
      <x:c r="T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40" t="str">
        <x:f>IF(COUNT(L131:P131)=0,"",ROUND(SUM(L131:P131)/COUNT(L131:P131)*20,0))</x:f>
      </x:c>
      <x:c r="L131" s="40"/>
      <x:c r="M131" s="40"/>
      <x:c r="N131" s="40"/>
      <x:c r="O131" s="40"/>
      <x:c r="P131" s="40"/>
      <x:c r="Q131" s="31"/>
      <x:c r="R131" s="31"/>
      <x:c r="S131" s="36"/>
      <x:c r="T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40" t="str">
        <x:f>IF(COUNT(L132:P132)=0,"",ROUND(SUM(L132:P132)/COUNT(L132:P132)*20,0))</x:f>
      </x:c>
      <x:c r="L132" s="40"/>
      <x:c r="M132" s="40"/>
      <x:c r="N132" s="40"/>
      <x:c r="O132" s="40"/>
      <x:c r="P132" s="40"/>
      <x:c r="Q132" s="31"/>
      <x:c r="R132" s="31"/>
      <x:c r="S132" s="36"/>
      <x:c r="T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40" t="str">
        <x:f>IF(COUNT(L133:P133)=0,"",ROUND(SUM(L133:P133)/COUNT(L133:P133)*20,0))</x:f>
      </x:c>
      <x:c r="L133" s="40"/>
      <x:c r="M133" s="40"/>
      <x:c r="N133" s="40"/>
      <x:c r="O133" s="40"/>
      <x:c r="P133" s="40"/>
      <x:c r="Q133" s="31"/>
      <x:c r="R133" s="31"/>
      <x:c r="S133" s="36"/>
      <x:c r="T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40" t="str">
        <x:f>IF(COUNT(L134:P134)=0,"",ROUND(SUM(L134:P134)/COUNT(L134:P134)*20,0))</x:f>
      </x:c>
      <x:c r="L134" s="40"/>
      <x:c r="M134" s="40"/>
      <x:c r="N134" s="40"/>
      <x:c r="O134" s="40"/>
      <x:c r="P134" s="40"/>
      <x:c r="Q134" s="31"/>
      <x:c r="R134" s="31"/>
      <x:c r="S134" s="36"/>
      <x:c r="T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40" t="str">
        <x:f>IF(COUNT(L135:P135)=0,"",ROUND(SUM(L135:P135)/COUNT(L135:P135)*20,0))</x:f>
      </x:c>
      <x:c r="L135" s="40"/>
      <x:c r="M135" s="40"/>
      <x:c r="N135" s="40"/>
      <x:c r="O135" s="40"/>
      <x:c r="P135" s="40"/>
      <x:c r="Q135" s="31"/>
      <x:c r="R135" s="31"/>
      <x:c r="S135" s="36"/>
      <x:c r="T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40" t="str">
        <x:f>IF(COUNT(L136:P136)=0,"",ROUND(SUM(L136:P136)/COUNT(L136:P136)*20,0))</x:f>
      </x:c>
      <x:c r="L136" s="40"/>
      <x:c r="M136" s="40"/>
      <x:c r="N136" s="40"/>
      <x:c r="O136" s="40"/>
      <x:c r="P136" s="40"/>
      <x:c r="Q136" s="31"/>
      <x:c r="R136" s="31"/>
      <x:c r="S136" s="36"/>
      <x:c r="T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40" t="str">
        <x:f>IF(COUNT(L137:P137)=0,"",ROUND(SUM(L137:P137)/COUNT(L137:P137)*20,0))</x:f>
      </x:c>
      <x:c r="L137" s="40"/>
      <x:c r="M137" s="40"/>
      <x:c r="N137" s="40"/>
      <x:c r="O137" s="40"/>
      <x:c r="P137" s="40"/>
      <x:c r="Q137" s="31"/>
      <x:c r="R137" s="31"/>
      <x:c r="S137" s="36"/>
      <x:c r="T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40" t="str">
        <x:f>IF(COUNT(L138:P138)=0,"",ROUND(SUM(L138:P138)/COUNT(L138:P138)*20,0))</x:f>
      </x:c>
      <x:c r="L138" s="40"/>
      <x:c r="M138" s="40"/>
      <x:c r="N138" s="40"/>
      <x:c r="O138" s="40"/>
      <x:c r="P138" s="40"/>
      <x:c r="Q138" s="31"/>
      <x:c r="R138" s="31"/>
      <x:c r="S138" s="36"/>
      <x:c r="T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40" t="str">
        <x:f>IF(COUNT(L139:P139)=0,"",ROUND(SUM(L139:P139)/COUNT(L139:P139)*20,0))</x:f>
      </x:c>
      <x:c r="L139" s="40"/>
      <x:c r="M139" s="40"/>
      <x:c r="N139" s="40"/>
      <x:c r="O139" s="40"/>
      <x:c r="P139" s="40"/>
      <x:c r="Q139" s="31"/>
      <x:c r="R139" s="31"/>
      <x:c r="S139" s="36"/>
      <x:c r="T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40" t="str">
        <x:f>IF(COUNT(L140:P140)=0,"",ROUND(SUM(L140:P140)/COUNT(L140:P140)*20,0))</x:f>
      </x:c>
      <x:c r="L140" s="40"/>
      <x:c r="M140" s="40"/>
      <x:c r="N140" s="40"/>
      <x:c r="O140" s="40"/>
      <x:c r="P140" s="40"/>
      <x:c r="Q140" s="31"/>
      <x:c r="R140" s="31"/>
      <x:c r="S140" s="36"/>
      <x:c r="T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40" t="str">
        <x:f>IF(COUNT(L141:P141)=0,"",ROUND(SUM(L141:P141)/COUNT(L141:P141)*20,0))</x:f>
      </x:c>
      <x:c r="L141" s="40"/>
      <x:c r="M141" s="40"/>
      <x:c r="N141" s="40"/>
      <x:c r="O141" s="40"/>
      <x:c r="P141" s="40"/>
      <x:c r="Q141" s="31"/>
      <x:c r="R141" s="31"/>
      <x:c r="S141" s="36"/>
      <x:c r="T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40" t="str">
        <x:f>IF(COUNT(L142:P142)=0,"",ROUND(SUM(L142:P142)/COUNT(L142:P142)*20,0))</x:f>
      </x:c>
      <x:c r="L142" s="40"/>
      <x:c r="M142" s="40"/>
      <x:c r="N142" s="40"/>
      <x:c r="O142" s="40"/>
      <x:c r="P142" s="40"/>
      <x:c r="Q142" s="31"/>
      <x:c r="R142" s="31"/>
      <x:c r="S142" s="36"/>
      <x:c r="T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40" t="str">
        <x:f>IF(COUNT(L143:P143)=0,"",ROUND(SUM(L143:P143)/COUNT(L143:P143)*20,0))</x:f>
      </x:c>
      <x:c r="L143" s="40"/>
      <x:c r="M143" s="40"/>
      <x:c r="N143" s="40"/>
      <x:c r="O143" s="40"/>
      <x:c r="P143" s="40"/>
      <x:c r="Q143" s="31"/>
      <x:c r="R143" s="31"/>
      <x:c r="S143" s="36"/>
      <x:c r="T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40" t="str">
        <x:f>IF(COUNT(L144:P144)=0,"",ROUND(SUM(L144:P144)/COUNT(L144:P144)*20,0))</x:f>
      </x:c>
      <x:c r="L144" s="40"/>
      <x:c r="M144" s="40"/>
      <x:c r="N144" s="40"/>
      <x:c r="O144" s="40"/>
      <x:c r="P144" s="40"/>
      <x:c r="Q144" s="31"/>
      <x:c r="R144" s="31"/>
      <x:c r="S144" s="36"/>
      <x:c r="T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40" t="str">
        <x:f>IF(COUNT(L145:P145)=0,"",ROUND(SUM(L145:P145)/COUNT(L145:P145)*20,0))</x:f>
      </x:c>
      <x:c r="L145" s="40"/>
      <x:c r="M145" s="40"/>
      <x:c r="N145" s="40"/>
      <x:c r="O145" s="40"/>
      <x:c r="P145" s="40"/>
      <x:c r="Q145" s="31"/>
      <x:c r="R145" s="31"/>
      <x:c r="S145" s="36"/>
      <x:c r="T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40" t="str">
        <x:f>IF(COUNT(L146:P146)=0,"",ROUND(SUM(L146:P146)/COUNT(L146:P146)*20,0))</x:f>
      </x:c>
      <x:c r="L146" s="40"/>
      <x:c r="M146" s="40"/>
      <x:c r="N146" s="40"/>
      <x:c r="O146" s="40"/>
      <x:c r="P146" s="40"/>
      <x:c r="Q146" s="31"/>
      <x:c r="R146" s="31"/>
      <x:c r="S146" s="36"/>
      <x:c r="T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40" t="str">
        <x:f>IF(COUNT(L147:P147)=0,"",ROUND(SUM(L147:P147)/COUNT(L147:P147)*20,0))</x:f>
      </x:c>
      <x:c r="L147" s="40"/>
      <x:c r="M147" s="40"/>
      <x:c r="N147" s="40"/>
      <x:c r="O147" s="40"/>
      <x:c r="P147" s="40"/>
      <x:c r="Q147" s="31"/>
      <x:c r="R147" s="31"/>
      <x:c r="S147" s="36"/>
      <x:c r="T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40" t="str">
        <x:f>IF(COUNT(L148:P148)=0,"",ROUND(SUM(L148:P148)/COUNT(L148:P148)*20,0))</x:f>
      </x:c>
      <x:c r="L148" s="40"/>
      <x:c r="M148" s="40"/>
      <x:c r="N148" s="40"/>
      <x:c r="O148" s="40"/>
      <x:c r="P148" s="40"/>
      <x:c r="Q148" s="31"/>
      <x:c r="R148" s="31"/>
      <x:c r="S148" s="36"/>
      <x:c r="T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40" t="str">
        <x:f>IF(COUNT(L149:P149)=0,"",ROUND(SUM(L149:P149)/COUNT(L149:P149)*20,0))</x:f>
      </x:c>
      <x:c r="L149" s="40"/>
      <x:c r="M149" s="40"/>
      <x:c r="N149" s="40"/>
      <x:c r="O149" s="40"/>
      <x:c r="P149" s="40"/>
      <x:c r="Q149" s="31"/>
      <x:c r="R149" s="31"/>
      <x:c r="S149" s="36"/>
      <x:c r="T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40" t="str">
        <x:f>IF(COUNT(L150:P150)=0,"",ROUND(SUM(L150:P150)/COUNT(L150:P150)*20,0))</x:f>
      </x:c>
      <x:c r="L150" s="40"/>
      <x:c r="M150" s="40"/>
      <x:c r="N150" s="40"/>
      <x:c r="O150" s="40"/>
      <x:c r="P150" s="40"/>
      <x:c r="Q150" s="31"/>
      <x:c r="R150" s="31"/>
      <x:c r="S150" s="36"/>
      <x:c r="T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40" t="str">
        <x:f>IF(COUNT(L151:P151)=0,"",ROUND(SUM(L151:P151)/COUNT(L151:P151)*20,0))</x:f>
      </x:c>
      <x:c r="L151" s="40"/>
      <x:c r="M151" s="40"/>
      <x:c r="N151" s="40"/>
      <x:c r="O151" s="40"/>
      <x:c r="P151" s="40"/>
      <x:c r="Q151" s="31"/>
      <x:c r="R151" s="31"/>
      <x:c r="S151" s="36"/>
      <x:c r="T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40" t="str">
        <x:f>IF(COUNT(L152:P152)=0,"",ROUND(SUM(L152:P152)/COUNT(L152:P152)*20,0))</x:f>
      </x:c>
      <x:c r="L152" s="40"/>
      <x:c r="M152" s="40"/>
      <x:c r="N152" s="40"/>
      <x:c r="O152" s="40"/>
      <x:c r="P152" s="40"/>
      <x:c r="Q152" s="31"/>
      <x:c r="R152" s="31"/>
      <x:c r="S152" s="36"/>
      <x:c r="T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40" t="str">
        <x:f>IF(COUNT(L153:P153)=0,"",ROUND(SUM(L153:P153)/COUNT(L153:P153)*20,0))</x:f>
      </x:c>
      <x:c r="L153" s="40"/>
      <x:c r="M153" s="40"/>
      <x:c r="N153" s="40"/>
      <x:c r="O153" s="40"/>
      <x:c r="P153" s="40"/>
      <x:c r="Q153" s="31"/>
      <x:c r="R153" s="31"/>
      <x:c r="S153" s="36"/>
      <x:c r="T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40" t="str">
        <x:f>IF(COUNT(L154:P154)=0,"",ROUND(SUM(L154:P154)/COUNT(L154:P154)*20,0))</x:f>
      </x:c>
      <x:c r="L154" s="40"/>
      <x:c r="M154" s="40"/>
      <x:c r="N154" s="40"/>
      <x:c r="O154" s="40"/>
      <x:c r="P154" s="40"/>
      <x:c r="Q154" s="31"/>
      <x:c r="R154" s="31"/>
      <x:c r="S154" s="36"/>
      <x:c r="T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40" t="str">
        <x:f>IF(COUNT(L155:P155)=0,"",ROUND(SUM(L155:P155)/COUNT(L155:P155)*20,0))</x:f>
      </x:c>
      <x:c r="L155" s="40"/>
      <x:c r="M155" s="40"/>
      <x:c r="N155" s="40"/>
      <x:c r="O155" s="40"/>
      <x:c r="P155" s="40"/>
      <x:c r="Q155" s="31"/>
      <x:c r="R155" s="31"/>
      <x:c r="S155" s="36"/>
      <x:c r="T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40" t="str">
        <x:f>IF(COUNT(L156:P156)=0,"",ROUND(SUM(L156:P156)/COUNT(L156:P156)*20,0))</x:f>
      </x:c>
      <x:c r="L156" s="40"/>
      <x:c r="M156" s="40"/>
      <x:c r="N156" s="40"/>
      <x:c r="O156" s="40"/>
      <x:c r="P156" s="40"/>
      <x:c r="Q156" s="31"/>
      <x:c r="R156" s="31"/>
      <x:c r="S156" s="36"/>
      <x:c r="T156" s="31"/>
    </x:row>
    <x:row r="157">
      <x:c r="A157"/>
      <x:c r="B157"/>
      <x:c r="C157"/>
      <x:c r="D157"/>
      <x:c r="E157"/>
      <x:c r="F157"/>
      <x:c r="G157"/>
      <x:c r="H157"/>
      <x:c r="I157"/>
      <x:c r="J157"/>
      <x:c r="K157" s="50" t="str">
        <x:f>IF(COUNT(L157:P157)=0,"",ROUND(SUM(L157:P157)/COUNT(L157:P157)*20,0))</x:f>
      </x:c>
      <x:c r="L157" s="50"/>
      <x:c r="M157" s="50"/>
      <x:c r="N157" s="50"/>
      <x:c r="O157" s="50"/>
      <x:c r="P157" s="50"/>
      <x:c r="Q157"/>
      <x:c r="R157"/>
      <x:c r="S157" s="52"/>
      <x:c r="T157"/>
    </x:row>
  </x:sheetData>
  <x:mergeCells>
    <x:mergeCell ref="A1:T1"/>
    <x:mergeCell ref="A2:T2"/>
  </x:mergeCells>
  <x:conditionalFormatting sqref="K5:K15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">
    <x:dataValidation type="list" sqref="Q5:Q157">
      <x:formula1>"None,Low,Medium,High,Blocked"</x:formula1>
    </x:dataValidation>
    <x:dataValidation type="list" sqref="R5:R157">
      <x:formula1>"New,Verified,Preferred,Watchlist,Rejected,Needs Manual Check"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01a2537209478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6.880001068115234" hidden="0" customWidth="1"/>
    <x:col min="2" max="2" width="15.25" hidden="0" customWidth="1"/>
    <x:col min="3" max="3" width="11.880000114440918" hidden="0" customWidth="1"/>
    <x:col min="4" max="4" width="28" hidden="0" customWidth="1"/>
    <x:col min="5" max="5" width="9.75" hidden="0" customWidth="1"/>
    <x:col min="6" max="6" width="15" hidden="0" customWidth="1"/>
    <x:col min="7" max="7" width="8.880000114440918" hidden="0" customWidth="1"/>
    <x:col min="8" max="8" width="14.130000114440918" hidden="0" customWidth="1"/>
    <x:col min="9" max="9" width="14.880000114440918" hidden="0" customWidth="1"/>
    <x:col min="10" max="10" width="10.130000114440918" hidden="0" customWidth="1"/>
    <x:col min="11" max="11" width="21.25" hidden="0" customWidth="1"/>
    <x:col min="12" max="12" width="11.75" hidden="0" customWidth="1"/>
    <x:col min="13" max="13" width="17.5" hidden="0" customWidth="1"/>
    <x:col min="14" max="14" width="19.8799991607666" hidden="0" customWidth="1"/>
    <x:col min="15" max="15" width="9.880000114440918" hidden="0" customWidth="1"/>
    <x:col min="16" max="16" width="10" hidden="0" customWidth="1"/>
    <x:col min="17" max="17" width="11.380000114440918" hidden="0" customWidth="1"/>
    <x:col min="18" max="18" width="28" hidden="0" customWidth="1"/>
    <x:col min="19" max="19" width="7.75" hidden="0" customWidth="1"/>
    <x:col min="20" max="20" width="28" hidden="0" customWidth="1"/>
  </x:cols>
  <x:sheetData>
    <x:row r="1" ht="30" customHeight="1">
      <x:c r="A1" s="70" t="str">
        <x:v>QUOTE MASTER + LANDED COST WATERFALL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31"/>
      <x:c r="V1" s="31"/>
      <x:c r="W1" s="31"/>
      <x:c r="X1" s="31"/>
      <x:c r="Y1" s="31"/>
      <x:c r="Z1" s="31"/>
    </x:row>
    <x:row r="2" ht="34" customHeight="1">
      <x:c r="A2" s="15" t="str">
        <x:v>Pricing proof for tenders and exports. Use landed cost, not just supplier cost.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</x:row>
    <x:row r="4">
      <x:c r="A4" s="34" t="str">
        <x:v>Quote_ID</x:v>
      </x:c>
      <x:c r="B4" s="34" t="str">
        <x:v>Case_ID</x:v>
      </x:c>
      <x:c r="C4" s="34" t="str">
        <x:v>Supplier_ID</x:v>
      </x:c>
      <x:c r="D4" s="34" t="str">
        <x:v>Product</x:v>
      </x:c>
      <x:c r="E4" s="34" t="str">
        <x:v>Quantity</x:v>
      </x:c>
      <x:c r="F4" s="34" t="str">
        <x:v>Unit_Base_Cost</x:v>
      </x:c>
      <x:c r="G4" s="34" t="str">
        <x:v>Packing</x:v>
      </x:c>
      <x:c r="H4" s="34" t="str">
        <x:v>Inland_Freight</x:v>
      </x:c>
      <x:c r="I4" s="34" t="str">
        <x:v>Documentation</x:v>
      </x:c>
      <x:c r="J4" s="34" t="str">
        <x:v>Duty_Tax</x:v>
      </x:c>
      <x:c r="K4" s="34" t="str">
        <x:v>Working_Capital_Buffer</x:v>
      </x:c>
      <x:c r="L4" s="34" t="str">
        <x:v>Risk_Buffer</x:v>
      </x:c>
      <x:c r="M4" s="34" t="str">
        <x:v>Desired_Margin_%</x:v>
      </x:c>
      <x:c r="N4" s="34" t="str">
        <x:v>Suggested_Bid_Quote</x:v>
      </x:c>
      <x:c r="O4" s="34" t="str">
        <x:v>Currency</x:v>
      </x:c>
      <x:c r="P4" s="34" t="str">
        <x:v>Incoterm</x:v>
      </x:c>
      <x:c r="Q4" s="34" t="str">
        <x:v>Valid_Until</x:v>
      </x:c>
      <x:c r="R4" s="34" t="str">
        <x:v>Quote_Source</x:v>
      </x:c>
      <x:c r="S4" s="34" t="str">
        <x:v>Status</x:v>
      </x:c>
      <x:c r="T4" s="34" t="str">
        <x:v>Notes</x:v>
      </x:c>
    </x:row>
    <x:row r="5">
      <x:c r="A5" s="31" t="str">
        <x:v>QT-20260630-001</x:v>
      </x:c>
      <x:c r="B5" s="31" t="str">
        <x:v>EXP-20260630-001</x:v>
      </x:c>
      <x:c r="C5" s="31" t="str">
        <x:v>SUP-IN-001</x:v>
      </x:c>
      <x:c r="D5" s="31" t="str">
        <x:v>Cotton tote bags</x:v>
      </x:c>
      <x:c r="E5" s="31" t="n">
        <x:v>10000</x:v>
      </x:c>
      <x:c r="F5" s="54" t="n">
        <x:v>42</x:v>
      </x:c>
      <x:c r="G5" s="54" t="n">
        <x:v>2</x:v>
      </x:c>
      <x:c r="H5" s="54" t="n">
        <x:v>3</x:v>
      </x:c>
      <x:c r="I5" s="54" t="n">
        <x:v>1</x:v>
      </x:c>
      <x:c r="J5" s="54" t="n">
        <x:v>0</x:v>
      </x:c>
      <x:c r="K5" s="54" t="n">
        <x:v>2</x:v>
      </x:c>
      <x:c r="L5" s="54" t="n">
        <x:v>3</x:v>
      </x:c>
      <x:c r="M5" s="58" t="n">
        <x:v>0.18</x:v>
      </x:c>
      <x:c r="N5" s="54" t="n">
        <x:f>IF(F5="","",ROUND((F5+G5+H5+I5+J5+K5+L5)*(1+M5),2))</x:f>
        <x:v>62.54</x:v>
      </x:c>
      <x:c r="O5" s="31" t="str">
        <x:v>INR</x:v>
      </x:c>
      <x:c r="P5" s="31" t="str">
        <x:v>FOB</x:v>
      </x:c>
      <x:c r="Q5" s="36" t="str">
        <x:v>2026-07-15</x:v>
      </x:c>
      <x:c r="R5" s="31" t="str">
        <x:v>Supplier WhatsApp quote</x:v>
      </x:c>
      <x:c r="S5" s="31" t="str">
        <x:v>Draft</x:v>
      </x:c>
      <x:c r="T5" s="31" t="str">
        <x:v>Sample</x:v>
      </x:c>
    </x:row>
    <x:row r="6">
      <x:c r="A6" s="31" t="str">
        <x:v>QT-20260630-002</x:v>
      </x:c>
      <x:c r="B6" s="31" t="str">
        <x:v>GOV-20260630-001</x:v>
      </x:c>
      <x:c r="C6" s="31" t="str">
        <x:v>SUP-IN-002</x:v>
      </x:c>
      <x:c r="D6" s="31" t="str">
        <x:v>Housekeeping consumables lot</x:v>
      </x:c>
      <x:c r="E6" s="31" t="n">
        <x:v>1</x:v>
      </x:c>
      <x:c r="F6" s="54" t="n">
        <x:v>100000</x:v>
      </x:c>
      <x:c r="G6" s="54" t="n">
        <x:v>3000</x:v>
      </x:c>
      <x:c r="H6" s="54" t="n">
        <x:v>5000</x:v>
      </x:c>
      <x:c r="I6" s="54" t="n">
        <x:v>2000</x:v>
      </x:c>
      <x:c r="J6" s="54" t="n">
        <x:v>0</x:v>
      </x:c>
      <x:c r="K6" s="54" t="n">
        <x:v>4000</x:v>
      </x:c>
      <x:c r="L6" s="54" t="n">
        <x:v>5000</x:v>
      </x:c>
      <x:c r="M6" s="58" t="n">
        <x:v>0.15</x:v>
      </x:c>
      <x:c r="N6" s="54" t="n">
        <x:f>IF(F6="","",ROUND((F6+G6+H6+I6+J6+K6+L6)*(1+M6),2))</x:f>
        <x:v>136850</x:v>
      </x:c>
      <x:c r="O6" s="31" t="str">
        <x:v>INR</x:v>
      </x:c>
      <x:c r="P6" s="31" t="str">
        <x:v>Delivered</x:v>
      </x:c>
      <x:c r="Q6" s="36" t="str">
        <x:v>2026-07-10</x:v>
      </x:c>
      <x:c r="R6" s="31" t="str">
        <x:v>Market quote</x:v>
      </x:c>
      <x:c r="S6" s="31" t="str">
        <x:v>Draft</x:v>
      </x:c>
      <x:c r="T6" s="31" t="str">
        <x:v>Sample</x:v>
      </x:c>
    </x:row>
    <x:row r="7">
      <x:c r="A7" s="31"/>
      <x:c r="B7" s="31"/>
      <x:c r="C7" s="31"/>
      <x:c r="D7" s="31"/>
      <x:c r="E7" s="31"/>
      <x:c r="F7" s="54"/>
      <x:c r="G7" s="54"/>
      <x:c r="H7" s="54"/>
      <x:c r="I7" s="54"/>
      <x:c r="J7" s="54"/>
      <x:c r="K7" s="54"/>
      <x:c r="L7" s="54"/>
      <x:c r="M7" s="58"/>
      <x:c r="N7" s="54" t="str">
        <x:f>IF(F7="","",ROUND((F7+G7+H7+I7+J7+K7+L7)*(1+M7),2))</x:f>
      </x:c>
      <x:c r="O7" s="31"/>
      <x:c r="P7" s="31"/>
      <x:c r="Q7" s="36"/>
      <x:c r="R7" s="31"/>
      <x:c r="S7" s="31"/>
      <x:c r="T7" s="31"/>
    </x:row>
    <x:row r="8">
      <x:c r="A8" s="31"/>
      <x:c r="B8" s="31"/>
      <x:c r="C8" s="31"/>
      <x:c r="D8" s="31"/>
      <x:c r="E8" s="31"/>
      <x:c r="F8" s="54"/>
      <x:c r="G8" s="54"/>
      <x:c r="H8" s="54"/>
      <x:c r="I8" s="54"/>
      <x:c r="J8" s="54"/>
      <x:c r="K8" s="54"/>
      <x:c r="L8" s="54"/>
      <x:c r="M8" s="58"/>
      <x:c r="N8" s="54" t="str">
        <x:f>IF(F8="","",ROUND((F8+G8+H8+I8+J8+K8+L8)*(1+M8),2))</x:f>
      </x:c>
      <x:c r="O8" s="31"/>
      <x:c r="P8" s="31"/>
      <x:c r="Q8" s="36"/>
      <x:c r="R8" s="31"/>
      <x:c r="S8" s="31"/>
      <x:c r="T8" s="31"/>
    </x:row>
    <x:row r="9">
      <x:c r="A9" s="31"/>
      <x:c r="B9" s="31"/>
      <x:c r="C9" s="31"/>
      <x:c r="D9" s="31"/>
      <x:c r="E9" s="31"/>
      <x:c r="F9" s="54"/>
      <x:c r="G9" s="54"/>
      <x:c r="H9" s="54"/>
      <x:c r="I9" s="54"/>
      <x:c r="J9" s="54"/>
      <x:c r="K9" s="54"/>
      <x:c r="L9" s="54"/>
      <x:c r="M9" s="58"/>
      <x:c r="N9" s="54" t="str">
        <x:f>IF(F9="","",ROUND((F9+G9+H9+I9+J9+K9+L9)*(1+M9),2))</x:f>
      </x:c>
      <x:c r="O9" s="31"/>
      <x:c r="P9" s="31"/>
      <x:c r="Q9" s="36"/>
      <x:c r="R9" s="31"/>
      <x:c r="S9" s="31"/>
      <x:c r="T9" s="31"/>
    </x:row>
    <x:row r="10">
      <x:c r="A10" s="31"/>
      <x:c r="B10" s="31"/>
      <x:c r="C10" s="31"/>
      <x:c r="D10" s="31"/>
      <x:c r="E10" s="31"/>
      <x:c r="F10" s="54"/>
      <x:c r="G10" s="54"/>
      <x:c r="H10" s="54"/>
      <x:c r="I10" s="54"/>
      <x:c r="J10" s="54"/>
      <x:c r="K10" s="54"/>
      <x:c r="L10" s="54"/>
      <x:c r="M10" s="58"/>
      <x:c r="N10" s="54" t="str">
        <x:f>IF(F10="","",ROUND((F10+G10+H10+I10+J10+K10+L10)*(1+M10),2))</x:f>
      </x:c>
      <x:c r="O10" s="31"/>
      <x:c r="P10" s="31"/>
      <x:c r="Q10" s="36"/>
      <x:c r="R10" s="31"/>
      <x:c r="S10" s="31"/>
      <x:c r="T10" s="31"/>
    </x:row>
    <x:row r="11">
      <x:c r="A11" s="31"/>
      <x:c r="B11" s="31"/>
      <x:c r="C11" s="31"/>
      <x:c r="D11" s="31"/>
      <x:c r="E11" s="31"/>
      <x:c r="F11" s="54"/>
      <x:c r="G11" s="54"/>
      <x:c r="H11" s="54"/>
      <x:c r="I11" s="54"/>
      <x:c r="J11" s="54"/>
      <x:c r="K11" s="54"/>
      <x:c r="L11" s="54"/>
      <x:c r="M11" s="58"/>
      <x:c r="N11" s="54" t="str">
        <x:f>IF(F11="","",ROUND((F11+G11+H11+I11+J11+K11+L11)*(1+M11),2))</x:f>
      </x:c>
      <x:c r="O11" s="31"/>
      <x:c r="P11" s="31"/>
      <x:c r="Q11" s="36"/>
      <x:c r="R11" s="31"/>
      <x:c r="S11" s="31"/>
      <x:c r="T11" s="31"/>
    </x:row>
    <x:row r="12">
      <x:c r="A12" s="31"/>
      <x:c r="B12" s="31"/>
      <x:c r="C12" s="31"/>
      <x:c r="D12" s="31"/>
      <x:c r="E12" s="31"/>
      <x:c r="F12" s="54"/>
      <x:c r="G12" s="54"/>
      <x:c r="H12" s="54"/>
      <x:c r="I12" s="54"/>
      <x:c r="J12" s="54"/>
      <x:c r="K12" s="54"/>
      <x:c r="L12" s="54"/>
      <x:c r="M12" s="58"/>
      <x:c r="N12" s="54" t="str">
        <x:f>IF(F12="","",ROUND((F12+G12+H12+I12+J12+K12+L12)*(1+M12),2))</x:f>
      </x:c>
      <x:c r="O12" s="31"/>
      <x:c r="P12" s="31"/>
      <x:c r="Q12" s="36"/>
      <x:c r="R12" s="31"/>
      <x:c r="S12" s="31"/>
      <x:c r="T12" s="31"/>
    </x:row>
    <x:row r="13">
      <x:c r="A13" s="31"/>
      <x:c r="B13" s="31"/>
      <x:c r="C13" s="31"/>
      <x:c r="D13" s="31"/>
      <x:c r="E13" s="31"/>
      <x:c r="F13" s="54"/>
      <x:c r="G13" s="54"/>
      <x:c r="H13" s="54"/>
      <x:c r="I13" s="54"/>
      <x:c r="J13" s="54"/>
      <x:c r="K13" s="54"/>
      <x:c r="L13" s="54"/>
      <x:c r="M13" s="58"/>
      <x:c r="N13" s="54" t="str">
        <x:f>IF(F13="","",ROUND((F13+G13+H13+I13+J13+K13+L13)*(1+M13),2))</x:f>
      </x:c>
      <x:c r="O13" s="31"/>
      <x:c r="P13" s="31"/>
      <x:c r="Q13" s="36"/>
      <x:c r="R13" s="31"/>
      <x:c r="S13" s="31"/>
      <x:c r="T13" s="31"/>
    </x:row>
    <x:row r="14">
      <x:c r="A14" s="31"/>
      <x:c r="B14" s="31"/>
      <x:c r="C14" s="31"/>
      <x:c r="D14" s="31"/>
      <x:c r="E14" s="31"/>
      <x:c r="F14" s="54"/>
      <x:c r="G14" s="54"/>
      <x:c r="H14" s="54"/>
      <x:c r="I14" s="54"/>
      <x:c r="J14" s="54"/>
      <x:c r="K14" s="54"/>
      <x:c r="L14" s="54"/>
      <x:c r="M14" s="58"/>
      <x:c r="N14" s="54" t="str">
        <x:f>IF(F14="","",ROUND((F14+G14+H14+I14+J14+K14+L14)*(1+M14),2))</x:f>
      </x:c>
      <x:c r="O14" s="31"/>
      <x:c r="P14" s="31"/>
      <x:c r="Q14" s="36"/>
      <x:c r="R14" s="31"/>
      <x:c r="S14" s="31"/>
      <x:c r="T14" s="31"/>
    </x:row>
    <x:row r="15">
      <x:c r="A15" s="31"/>
      <x:c r="B15" s="31"/>
      <x:c r="C15" s="31"/>
      <x:c r="D15" s="31"/>
      <x:c r="E15" s="31"/>
      <x:c r="F15" s="54"/>
      <x:c r="G15" s="54"/>
      <x:c r="H15" s="54"/>
      <x:c r="I15" s="54"/>
      <x:c r="J15" s="54"/>
      <x:c r="K15" s="54"/>
      <x:c r="L15" s="54"/>
      <x:c r="M15" s="58"/>
      <x:c r="N15" s="54" t="str">
        <x:f>IF(F15="","",ROUND((F15+G15+H15+I15+J15+K15+L15)*(1+M15),2))</x:f>
      </x:c>
      <x:c r="O15" s="31"/>
      <x:c r="P15" s="31"/>
      <x:c r="Q15" s="36"/>
      <x:c r="R15" s="31"/>
      <x:c r="S15" s="31"/>
      <x:c r="T15" s="31"/>
    </x:row>
    <x:row r="16">
      <x:c r="A16" s="31"/>
      <x:c r="B16" s="31"/>
      <x:c r="C16" s="31"/>
      <x:c r="D16" s="31"/>
      <x:c r="E16" s="31"/>
      <x:c r="F16" s="54"/>
      <x:c r="G16" s="54"/>
      <x:c r="H16" s="54"/>
      <x:c r="I16" s="54"/>
      <x:c r="J16" s="54"/>
      <x:c r="K16" s="54"/>
      <x:c r="L16" s="54"/>
      <x:c r="M16" s="58"/>
      <x:c r="N16" s="54" t="str">
        <x:f>IF(F16="","",ROUND((F16+G16+H16+I16+J16+K16+L16)*(1+M16),2))</x:f>
      </x:c>
      <x:c r="O16" s="31"/>
      <x:c r="P16" s="31"/>
      <x:c r="Q16" s="36"/>
      <x:c r="R16" s="31"/>
      <x:c r="S16" s="31"/>
      <x:c r="T16" s="31"/>
    </x:row>
    <x:row r="17">
      <x:c r="A17" s="31"/>
      <x:c r="B17" s="31"/>
      <x:c r="C17" s="31"/>
      <x:c r="D17" s="31"/>
      <x:c r="E17" s="31"/>
      <x:c r="F17" s="54"/>
      <x:c r="G17" s="54"/>
      <x:c r="H17" s="54"/>
      <x:c r="I17" s="54"/>
      <x:c r="J17" s="54"/>
      <x:c r="K17" s="54"/>
      <x:c r="L17" s="54"/>
      <x:c r="M17" s="58"/>
      <x:c r="N17" s="54" t="str">
        <x:f>IF(F17="","",ROUND((F17+G17+H17+I17+J17+K17+L17)*(1+M17),2))</x:f>
      </x:c>
      <x:c r="O17" s="31"/>
      <x:c r="P17" s="31"/>
      <x:c r="Q17" s="36"/>
      <x:c r="R17" s="31"/>
      <x:c r="S17" s="31"/>
      <x:c r="T17" s="31"/>
    </x:row>
    <x:row r="18">
      <x:c r="A18" s="31"/>
      <x:c r="B18" s="31"/>
      <x:c r="C18" s="31"/>
      <x:c r="D18" s="31"/>
      <x:c r="E18" s="31"/>
      <x:c r="F18" s="54"/>
      <x:c r="G18" s="54"/>
      <x:c r="H18" s="54"/>
      <x:c r="I18" s="54"/>
      <x:c r="J18" s="54"/>
      <x:c r="K18" s="54"/>
      <x:c r="L18" s="54"/>
      <x:c r="M18" s="58"/>
      <x:c r="N18" s="54" t="str">
        <x:f>IF(F18="","",ROUND((F18+G18+H18+I18+J18+K18+L18)*(1+M18),2))</x:f>
      </x:c>
      <x:c r="O18" s="31"/>
      <x:c r="P18" s="31"/>
      <x:c r="Q18" s="36"/>
      <x:c r="R18" s="31"/>
      <x:c r="S18" s="31"/>
      <x:c r="T18" s="31"/>
    </x:row>
    <x:row r="19">
      <x:c r="A19" s="31"/>
      <x:c r="B19" s="31"/>
      <x:c r="C19" s="31"/>
      <x:c r="D19" s="31"/>
      <x:c r="E19" s="31"/>
      <x:c r="F19" s="54"/>
      <x:c r="G19" s="54"/>
      <x:c r="H19" s="54"/>
      <x:c r="I19" s="54"/>
      <x:c r="J19" s="54"/>
      <x:c r="K19" s="54"/>
      <x:c r="L19" s="54"/>
      <x:c r="M19" s="58"/>
      <x:c r="N19" s="54" t="str">
        <x:f>IF(F19="","",ROUND((F19+G19+H19+I19+J19+K19+L19)*(1+M19),2))</x:f>
      </x:c>
      <x:c r="O19" s="31"/>
      <x:c r="P19" s="31"/>
      <x:c r="Q19" s="36"/>
      <x:c r="R19" s="31"/>
      <x:c r="S19" s="31"/>
      <x:c r="T19" s="31"/>
    </x:row>
    <x:row r="20">
      <x:c r="A20" s="31"/>
      <x:c r="B20" s="31"/>
      <x:c r="C20" s="31"/>
      <x:c r="D20" s="31"/>
      <x:c r="E20" s="31"/>
      <x:c r="F20" s="54"/>
      <x:c r="G20" s="54"/>
      <x:c r="H20" s="54"/>
      <x:c r="I20" s="54"/>
      <x:c r="J20" s="54"/>
      <x:c r="K20" s="54"/>
      <x:c r="L20" s="54"/>
      <x:c r="M20" s="58"/>
      <x:c r="N20" s="54" t="str">
        <x:f>IF(F20="","",ROUND((F20+G20+H20+I20+J20+K20+L20)*(1+M20),2))</x:f>
      </x:c>
      <x:c r="O20" s="31"/>
      <x:c r="P20" s="31"/>
      <x:c r="Q20" s="36"/>
      <x:c r="R20" s="31"/>
      <x:c r="S20" s="31"/>
      <x:c r="T20" s="31"/>
    </x:row>
    <x:row r="21">
      <x:c r="A21" s="31"/>
      <x:c r="B21" s="31"/>
      <x:c r="C21" s="31"/>
      <x:c r="D21" s="31"/>
      <x:c r="E21" s="31"/>
      <x:c r="F21" s="54"/>
      <x:c r="G21" s="54"/>
      <x:c r="H21" s="54"/>
      <x:c r="I21" s="54"/>
      <x:c r="J21" s="54"/>
      <x:c r="K21" s="54"/>
      <x:c r="L21" s="54"/>
      <x:c r="M21" s="58"/>
      <x:c r="N21" s="54" t="str">
        <x:f>IF(F21="","",ROUND((F21+G21+H21+I21+J21+K21+L21)*(1+M21),2))</x:f>
      </x:c>
      <x:c r="O21" s="31"/>
      <x:c r="P21" s="31"/>
      <x:c r="Q21" s="36"/>
      <x:c r="R21" s="31"/>
      <x:c r="S21" s="31"/>
      <x:c r="T21" s="31"/>
    </x:row>
    <x:row r="22">
      <x:c r="A22" s="31"/>
      <x:c r="B22" s="31"/>
      <x:c r="C22" s="31"/>
      <x:c r="D22" s="31"/>
      <x:c r="E22" s="31"/>
      <x:c r="F22" s="54"/>
      <x:c r="G22" s="54"/>
      <x:c r="H22" s="54"/>
      <x:c r="I22" s="54"/>
      <x:c r="J22" s="54"/>
      <x:c r="K22" s="54"/>
      <x:c r="L22" s="54"/>
      <x:c r="M22" s="58"/>
      <x:c r="N22" s="54" t="str">
        <x:f>IF(F22="","",ROUND((F22+G22+H22+I22+J22+K22+L22)*(1+M22),2))</x:f>
      </x:c>
      <x:c r="O22" s="31"/>
      <x:c r="P22" s="31"/>
      <x:c r="Q22" s="36"/>
      <x:c r="R22" s="31"/>
      <x:c r="S22" s="31"/>
      <x:c r="T22" s="31"/>
    </x:row>
    <x:row r="23">
      <x:c r="A23" s="31"/>
      <x:c r="B23" s="31"/>
      <x:c r="C23" s="31"/>
      <x:c r="D23" s="31"/>
      <x:c r="E23" s="31"/>
      <x:c r="F23" s="54"/>
      <x:c r="G23" s="54"/>
      <x:c r="H23" s="54"/>
      <x:c r="I23" s="54"/>
      <x:c r="J23" s="54"/>
      <x:c r="K23" s="54"/>
      <x:c r="L23" s="54"/>
      <x:c r="M23" s="58"/>
      <x:c r="N23" s="54" t="str">
        <x:f>IF(F23="","",ROUND((F23+G23+H23+I23+J23+K23+L23)*(1+M23),2))</x:f>
      </x:c>
      <x:c r="O23" s="31"/>
      <x:c r="P23" s="31"/>
      <x:c r="Q23" s="36"/>
      <x:c r="R23" s="31"/>
      <x:c r="S23" s="31"/>
      <x:c r="T23" s="31"/>
    </x:row>
    <x:row r="24">
      <x:c r="A24" s="31"/>
      <x:c r="B24" s="31"/>
      <x:c r="C24" s="31"/>
      <x:c r="D24" s="31"/>
      <x:c r="E24" s="31"/>
      <x:c r="F24" s="54"/>
      <x:c r="G24" s="54"/>
      <x:c r="H24" s="54"/>
      <x:c r="I24" s="54"/>
      <x:c r="J24" s="54"/>
      <x:c r="K24" s="54"/>
      <x:c r="L24" s="54"/>
      <x:c r="M24" s="58"/>
      <x:c r="N24" s="54" t="str">
        <x:f>IF(F24="","",ROUND((F24+G24+H24+I24+J24+K24+L24)*(1+M24),2))</x:f>
      </x:c>
      <x:c r="O24" s="31"/>
      <x:c r="P24" s="31"/>
      <x:c r="Q24" s="36"/>
      <x:c r="R24" s="31"/>
      <x:c r="S24" s="31"/>
      <x:c r="T24" s="31"/>
    </x:row>
    <x:row r="25">
      <x:c r="A25" s="31"/>
      <x:c r="B25" s="31"/>
      <x:c r="C25" s="31"/>
      <x:c r="D25" s="31"/>
      <x:c r="E25" s="31"/>
      <x:c r="F25" s="54"/>
      <x:c r="G25" s="54"/>
      <x:c r="H25" s="54"/>
      <x:c r="I25" s="54"/>
      <x:c r="J25" s="54"/>
      <x:c r="K25" s="54"/>
      <x:c r="L25" s="54"/>
      <x:c r="M25" s="58"/>
      <x:c r="N25" s="54" t="str">
        <x:f>IF(F25="","",ROUND((F25+G25+H25+I25+J25+K25+L25)*(1+M25),2))</x:f>
      </x:c>
      <x:c r="O25" s="31"/>
      <x:c r="P25" s="31"/>
      <x:c r="Q25" s="36"/>
      <x:c r="R25" s="31"/>
      <x:c r="S25" s="31"/>
      <x:c r="T25" s="31"/>
    </x:row>
    <x:row r="26">
      <x:c r="A26" s="31"/>
      <x:c r="B26" s="31"/>
      <x:c r="C26" s="31"/>
      <x:c r="D26" s="31"/>
      <x:c r="E26" s="31"/>
      <x:c r="F26" s="54"/>
      <x:c r="G26" s="54"/>
      <x:c r="H26" s="54"/>
      <x:c r="I26" s="54"/>
      <x:c r="J26" s="54"/>
      <x:c r="K26" s="54"/>
      <x:c r="L26" s="54"/>
      <x:c r="M26" s="58"/>
      <x:c r="N26" s="54" t="str">
        <x:f>IF(F26="","",ROUND((F26+G26+H26+I26+J26+K26+L26)*(1+M26),2))</x:f>
      </x:c>
      <x:c r="O26" s="31"/>
      <x:c r="P26" s="31"/>
      <x:c r="Q26" s="36"/>
      <x:c r="R26" s="31"/>
      <x:c r="S26" s="31"/>
      <x:c r="T26" s="31"/>
    </x:row>
    <x:row r="27">
      <x:c r="A27" s="31"/>
      <x:c r="B27" s="31"/>
      <x:c r="C27" s="31"/>
      <x:c r="D27" s="31"/>
      <x:c r="E27" s="31"/>
      <x:c r="F27" s="54"/>
      <x:c r="G27" s="54"/>
      <x:c r="H27" s="54"/>
      <x:c r="I27" s="54"/>
      <x:c r="J27" s="54"/>
      <x:c r="K27" s="54"/>
      <x:c r="L27" s="54"/>
      <x:c r="M27" s="58"/>
      <x:c r="N27" s="54" t="str">
        <x:f>IF(F27="","",ROUND((F27+G27+H27+I27+J27+K27+L27)*(1+M27),2))</x:f>
      </x:c>
      <x:c r="O27" s="31"/>
      <x:c r="P27" s="31"/>
      <x:c r="Q27" s="36"/>
      <x:c r="R27" s="31"/>
      <x:c r="S27" s="31"/>
      <x:c r="T27" s="31"/>
    </x:row>
    <x:row r="28">
      <x:c r="A28" s="31"/>
      <x:c r="B28" s="31"/>
      <x:c r="C28" s="31"/>
      <x:c r="D28" s="31"/>
      <x:c r="E28" s="31"/>
      <x:c r="F28" s="54"/>
      <x:c r="G28" s="54"/>
      <x:c r="H28" s="54"/>
      <x:c r="I28" s="54"/>
      <x:c r="J28" s="54"/>
      <x:c r="K28" s="54"/>
      <x:c r="L28" s="54"/>
      <x:c r="M28" s="58"/>
      <x:c r="N28" s="54" t="str">
        <x:f>IF(F28="","",ROUND((F28+G28+H28+I28+J28+K28+L28)*(1+M28),2))</x:f>
      </x:c>
      <x:c r="O28" s="31"/>
      <x:c r="P28" s="31"/>
      <x:c r="Q28" s="36"/>
      <x:c r="R28" s="31"/>
      <x:c r="S28" s="31"/>
      <x:c r="T28" s="31"/>
    </x:row>
    <x:row r="29">
      <x:c r="A29" s="31"/>
      <x:c r="B29" s="31"/>
      <x:c r="C29" s="31"/>
      <x:c r="D29" s="31"/>
      <x:c r="E29" s="31"/>
      <x:c r="F29" s="54"/>
      <x:c r="G29" s="54"/>
      <x:c r="H29" s="54"/>
      <x:c r="I29" s="54"/>
      <x:c r="J29" s="54"/>
      <x:c r="K29" s="54"/>
      <x:c r="L29" s="54"/>
      <x:c r="M29" s="58"/>
      <x:c r="N29" s="54" t="str">
        <x:f>IF(F29="","",ROUND((F29+G29+H29+I29+J29+K29+L29)*(1+M29),2))</x:f>
      </x:c>
      <x:c r="O29" s="31"/>
      <x:c r="P29" s="31"/>
      <x:c r="Q29" s="36"/>
      <x:c r="R29" s="31"/>
      <x:c r="S29" s="31"/>
      <x:c r="T29" s="31"/>
    </x:row>
    <x:row r="30">
      <x:c r="A30" s="31"/>
      <x:c r="B30" s="31"/>
      <x:c r="C30" s="31"/>
      <x:c r="D30" s="31"/>
      <x:c r="E30" s="31"/>
      <x:c r="F30" s="54"/>
      <x:c r="G30" s="54"/>
      <x:c r="H30" s="54"/>
      <x:c r="I30" s="54"/>
      <x:c r="J30" s="54"/>
      <x:c r="K30" s="54"/>
      <x:c r="L30" s="54"/>
      <x:c r="M30" s="58"/>
      <x:c r="N30" s="54" t="str">
        <x:f>IF(F30="","",ROUND((F30+G30+H30+I30+J30+K30+L30)*(1+M30),2))</x:f>
      </x:c>
      <x:c r="O30" s="31"/>
      <x:c r="P30" s="31"/>
      <x:c r="Q30" s="36"/>
      <x:c r="R30" s="31"/>
      <x:c r="S30" s="31"/>
      <x:c r="T30" s="31"/>
    </x:row>
    <x:row r="31">
      <x:c r="A31" s="31"/>
      <x:c r="B31" s="31"/>
      <x:c r="C31" s="31"/>
      <x:c r="D31" s="31"/>
      <x:c r="E31" s="31"/>
      <x:c r="F31" s="54"/>
      <x:c r="G31" s="54"/>
      <x:c r="H31" s="54"/>
      <x:c r="I31" s="54"/>
      <x:c r="J31" s="54"/>
      <x:c r="K31" s="54"/>
      <x:c r="L31" s="54"/>
      <x:c r="M31" s="58"/>
      <x:c r="N31" s="54" t="str">
        <x:f>IF(F31="","",ROUND((F31+G31+H31+I31+J31+K31+L31)*(1+M31),2))</x:f>
      </x:c>
      <x:c r="O31" s="31"/>
      <x:c r="P31" s="31"/>
      <x:c r="Q31" s="36"/>
      <x:c r="R31" s="31"/>
      <x:c r="S31" s="31"/>
      <x:c r="T31" s="31"/>
    </x:row>
    <x:row r="32">
      <x:c r="A32" s="31"/>
      <x:c r="B32" s="31"/>
      <x:c r="C32" s="31"/>
      <x:c r="D32" s="31"/>
      <x:c r="E32" s="31"/>
      <x:c r="F32" s="54"/>
      <x:c r="G32" s="54"/>
      <x:c r="H32" s="54"/>
      <x:c r="I32" s="54"/>
      <x:c r="J32" s="54"/>
      <x:c r="K32" s="54"/>
      <x:c r="L32" s="54"/>
      <x:c r="M32" s="58"/>
      <x:c r="N32" s="54" t="str">
        <x:f>IF(F32="","",ROUND((F32+G32+H32+I32+J32+K32+L32)*(1+M32),2))</x:f>
      </x:c>
      <x:c r="O32" s="31"/>
      <x:c r="P32" s="31"/>
      <x:c r="Q32" s="36"/>
      <x:c r="R32" s="31"/>
      <x:c r="S32" s="31"/>
      <x:c r="T32" s="31"/>
    </x:row>
    <x:row r="33">
      <x:c r="A33" s="31"/>
      <x:c r="B33" s="31"/>
      <x:c r="C33" s="31"/>
      <x:c r="D33" s="31"/>
      <x:c r="E33" s="31"/>
      <x:c r="F33" s="54"/>
      <x:c r="G33" s="54"/>
      <x:c r="H33" s="54"/>
      <x:c r="I33" s="54"/>
      <x:c r="J33" s="54"/>
      <x:c r="K33" s="54"/>
      <x:c r="L33" s="54"/>
      <x:c r="M33" s="58"/>
      <x:c r="N33" s="54" t="str">
        <x:f>IF(F33="","",ROUND((F33+G33+H33+I33+J33+K33+L33)*(1+M33),2))</x:f>
      </x:c>
      <x:c r="O33" s="31"/>
      <x:c r="P33" s="31"/>
      <x:c r="Q33" s="36"/>
      <x:c r="R33" s="31"/>
      <x:c r="S33" s="31"/>
      <x:c r="T33" s="31"/>
    </x:row>
    <x:row r="34">
      <x:c r="A34" s="31"/>
      <x:c r="B34" s="31"/>
      <x:c r="C34" s="31"/>
      <x:c r="D34" s="31"/>
      <x:c r="E34" s="31"/>
      <x:c r="F34" s="54"/>
      <x:c r="G34" s="54"/>
      <x:c r="H34" s="54"/>
      <x:c r="I34" s="54"/>
      <x:c r="J34" s="54"/>
      <x:c r="K34" s="54"/>
      <x:c r="L34" s="54"/>
      <x:c r="M34" s="58"/>
      <x:c r="N34" s="54" t="str">
        <x:f>IF(F34="","",ROUND((F34+G34+H34+I34+J34+K34+L34)*(1+M34),2))</x:f>
      </x:c>
      <x:c r="O34" s="31"/>
      <x:c r="P34" s="31"/>
      <x:c r="Q34" s="36"/>
      <x:c r="R34" s="31"/>
      <x:c r="S34" s="31"/>
      <x:c r="T34" s="31"/>
    </x:row>
    <x:row r="35">
      <x:c r="A35" s="31"/>
      <x:c r="B35" s="31"/>
      <x:c r="C35" s="31"/>
      <x:c r="D35" s="31"/>
      <x:c r="E35" s="31"/>
      <x:c r="F35" s="54"/>
      <x:c r="G35" s="54"/>
      <x:c r="H35" s="54"/>
      <x:c r="I35" s="54"/>
      <x:c r="J35" s="54"/>
      <x:c r="K35" s="54"/>
      <x:c r="L35" s="54"/>
      <x:c r="M35" s="58"/>
      <x:c r="N35" s="54" t="str">
        <x:f>IF(F35="","",ROUND((F35+G35+H35+I35+J35+K35+L35)*(1+M35),2))</x:f>
      </x:c>
      <x:c r="O35" s="31"/>
      <x:c r="P35" s="31"/>
      <x:c r="Q35" s="36"/>
      <x:c r="R35" s="31"/>
      <x:c r="S35" s="31"/>
      <x:c r="T35" s="31"/>
    </x:row>
    <x:row r="36">
      <x:c r="A36" s="31"/>
      <x:c r="B36" s="31"/>
      <x:c r="C36" s="31"/>
      <x:c r="D36" s="31"/>
      <x:c r="E36" s="31"/>
      <x:c r="F36" s="54"/>
      <x:c r="G36" s="54"/>
      <x:c r="H36" s="54"/>
      <x:c r="I36" s="54"/>
      <x:c r="J36" s="54"/>
      <x:c r="K36" s="54"/>
      <x:c r="L36" s="54"/>
      <x:c r="M36" s="58"/>
      <x:c r="N36" s="54" t="str">
        <x:f>IF(F36="","",ROUND((F36+G36+H36+I36+J36+K36+L36)*(1+M36),2))</x:f>
      </x:c>
      <x:c r="O36" s="31"/>
      <x:c r="P36" s="31"/>
      <x:c r="Q36" s="36"/>
      <x:c r="R36" s="31"/>
      <x:c r="S36" s="31"/>
      <x:c r="T36" s="31"/>
    </x:row>
    <x:row r="37">
      <x:c r="A37" s="31"/>
      <x:c r="B37" s="31"/>
      <x:c r="C37" s="31"/>
      <x:c r="D37" s="31"/>
      <x:c r="E37" s="31"/>
      <x:c r="F37" s="54"/>
      <x:c r="G37" s="54"/>
      <x:c r="H37" s="54"/>
      <x:c r="I37" s="54"/>
      <x:c r="J37" s="54"/>
      <x:c r="K37" s="54"/>
      <x:c r="L37" s="54"/>
      <x:c r="M37" s="58"/>
      <x:c r="N37" s="54" t="str">
        <x:f>IF(F37="","",ROUND((F37+G37+H37+I37+J37+K37+L37)*(1+M37),2))</x:f>
      </x:c>
      <x:c r="O37" s="31"/>
      <x:c r="P37" s="31"/>
      <x:c r="Q37" s="36"/>
      <x:c r="R37" s="31"/>
      <x:c r="S37" s="31"/>
      <x:c r="T37" s="31"/>
    </x:row>
    <x:row r="38">
      <x:c r="A38" s="31"/>
      <x:c r="B38" s="31"/>
      <x:c r="C38" s="31"/>
      <x:c r="D38" s="31"/>
      <x:c r="E38" s="31"/>
      <x:c r="F38" s="54"/>
      <x:c r="G38" s="54"/>
      <x:c r="H38" s="54"/>
      <x:c r="I38" s="54"/>
      <x:c r="J38" s="54"/>
      <x:c r="K38" s="54"/>
      <x:c r="L38" s="54"/>
      <x:c r="M38" s="58"/>
      <x:c r="N38" s="54" t="str">
        <x:f>IF(F38="","",ROUND((F38+G38+H38+I38+J38+K38+L38)*(1+M38),2))</x:f>
      </x:c>
      <x:c r="O38" s="31"/>
      <x:c r="P38" s="31"/>
      <x:c r="Q38" s="36"/>
      <x:c r="R38" s="31"/>
      <x:c r="S38" s="31"/>
      <x:c r="T38" s="31"/>
    </x:row>
    <x:row r="39">
      <x:c r="A39" s="31"/>
      <x:c r="B39" s="31"/>
      <x:c r="C39" s="31"/>
      <x:c r="D39" s="31"/>
      <x:c r="E39" s="31"/>
      <x:c r="F39" s="54"/>
      <x:c r="G39" s="54"/>
      <x:c r="H39" s="54"/>
      <x:c r="I39" s="54"/>
      <x:c r="J39" s="54"/>
      <x:c r="K39" s="54"/>
      <x:c r="L39" s="54"/>
      <x:c r="M39" s="58"/>
      <x:c r="N39" s="54" t="str">
        <x:f>IF(F39="","",ROUND((F39+G39+H39+I39+J39+K39+L39)*(1+M39),2))</x:f>
      </x:c>
      <x:c r="O39" s="31"/>
      <x:c r="P39" s="31"/>
      <x:c r="Q39" s="36"/>
      <x:c r="R39" s="31"/>
      <x:c r="S39" s="31"/>
      <x:c r="T39" s="31"/>
    </x:row>
    <x:row r="40">
      <x:c r="A40" s="31"/>
      <x:c r="B40" s="31"/>
      <x:c r="C40" s="31"/>
      <x:c r="D40" s="31"/>
      <x:c r="E40" s="31"/>
      <x:c r="F40" s="54"/>
      <x:c r="G40" s="54"/>
      <x:c r="H40" s="54"/>
      <x:c r="I40" s="54"/>
      <x:c r="J40" s="54"/>
      <x:c r="K40" s="54"/>
      <x:c r="L40" s="54"/>
      <x:c r="M40" s="58"/>
      <x:c r="N40" s="54" t="str">
        <x:f>IF(F40="","",ROUND((F40+G40+H40+I40+J40+K40+L40)*(1+M40),2))</x:f>
      </x:c>
      <x:c r="O40" s="31"/>
      <x:c r="P40" s="31"/>
      <x:c r="Q40" s="36"/>
      <x:c r="R40" s="31"/>
      <x:c r="S40" s="31"/>
      <x:c r="T40" s="31"/>
    </x:row>
    <x:row r="41">
      <x:c r="A41" s="31"/>
      <x:c r="B41" s="31"/>
      <x:c r="C41" s="31"/>
      <x:c r="D41" s="31"/>
      <x:c r="E41" s="31"/>
      <x:c r="F41" s="54"/>
      <x:c r="G41" s="54"/>
      <x:c r="H41" s="54"/>
      <x:c r="I41" s="54"/>
      <x:c r="J41" s="54"/>
      <x:c r="K41" s="54"/>
      <x:c r="L41" s="54"/>
      <x:c r="M41" s="58"/>
      <x:c r="N41" s="54" t="str">
        <x:f>IF(F41="","",ROUND((F41+G41+H41+I41+J41+K41+L41)*(1+M41),2))</x:f>
      </x:c>
      <x:c r="O41" s="31"/>
      <x:c r="P41" s="31"/>
      <x:c r="Q41" s="36"/>
      <x:c r="R41" s="31"/>
      <x:c r="S41" s="31"/>
      <x:c r="T41" s="31"/>
    </x:row>
    <x:row r="42">
      <x:c r="A42" s="31"/>
      <x:c r="B42" s="31"/>
      <x:c r="C42" s="31"/>
      <x:c r="D42" s="31"/>
      <x:c r="E42" s="31"/>
      <x:c r="F42" s="54"/>
      <x:c r="G42" s="54"/>
      <x:c r="H42" s="54"/>
      <x:c r="I42" s="54"/>
      <x:c r="J42" s="54"/>
      <x:c r="K42" s="54"/>
      <x:c r="L42" s="54"/>
      <x:c r="M42" s="58"/>
      <x:c r="N42" s="54" t="str">
        <x:f>IF(F42="","",ROUND((F42+G42+H42+I42+J42+K42+L42)*(1+M42),2))</x:f>
      </x:c>
      <x:c r="O42" s="31"/>
      <x:c r="P42" s="31"/>
      <x:c r="Q42" s="36"/>
      <x:c r="R42" s="31"/>
      <x:c r="S42" s="31"/>
      <x:c r="T42" s="31"/>
    </x:row>
    <x:row r="43">
      <x:c r="A43" s="31"/>
      <x:c r="B43" s="31"/>
      <x:c r="C43" s="31"/>
      <x:c r="D43" s="31"/>
      <x:c r="E43" s="31"/>
      <x:c r="F43" s="54"/>
      <x:c r="G43" s="54"/>
      <x:c r="H43" s="54"/>
      <x:c r="I43" s="54"/>
      <x:c r="J43" s="54"/>
      <x:c r="K43" s="54"/>
      <x:c r="L43" s="54"/>
      <x:c r="M43" s="58"/>
      <x:c r="N43" s="54" t="str">
        <x:f>IF(F43="","",ROUND((F43+G43+H43+I43+J43+K43+L43)*(1+M43),2))</x:f>
      </x:c>
      <x:c r="O43" s="31"/>
      <x:c r="P43" s="31"/>
      <x:c r="Q43" s="36"/>
      <x:c r="R43" s="31"/>
      <x:c r="S43" s="31"/>
      <x:c r="T43" s="31"/>
    </x:row>
    <x:row r="44">
      <x:c r="A44" s="31"/>
      <x:c r="B44" s="31"/>
      <x:c r="C44" s="31"/>
      <x:c r="D44" s="31"/>
      <x:c r="E44" s="31"/>
      <x:c r="F44" s="54"/>
      <x:c r="G44" s="54"/>
      <x:c r="H44" s="54"/>
      <x:c r="I44" s="54"/>
      <x:c r="J44" s="54"/>
      <x:c r="K44" s="54"/>
      <x:c r="L44" s="54"/>
      <x:c r="M44" s="58"/>
      <x:c r="N44" s="54" t="str">
        <x:f>IF(F44="","",ROUND((F44+G44+H44+I44+J44+K44+L44)*(1+M44),2))</x:f>
      </x:c>
      <x:c r="O44" s="31"/>
      <x:c r="P44" s="31"/>
      <x:c r="Q44" s="36"/>
      <x:c r="R44" s="31"/>
      <x:c r="S44" s="31"/>
      <x:c r="T44" s="31"/>
    </x:row>
    <x:row r="45">
      <x:c r="A45" s="31"/>
      <x:c r="B45" s="31"/>
      <x:c r="C45" s="31"/>
      <x:c r="D45" s="31"/>
      <x:c r="E45" s="31"/>
      <x:c r="F45" s="54"/>
      <x:c r="G45" s="54"/>
      <x:c r="H45" s="54"/>
      <x:c r="I45" s="54"/>
      <x:c r="J45" s="54"/>
      <x:c r="K45" s="54"/>
      <x:c r="L45" s="54"/>
      <x:c r="M45" s="58"/>
      <x:c r="N45" s="54" t="str">
        <x:f>IF(F45="","",ROUND((F45+G45+H45+I45+J45+K45+L45)*(1+M45),2))</x:f>
      </x:c>
      <x:c r="O45" s="31"/>
      <x:c r="P45" s="31"/>
      <x:c r="Q45" s="36"/>
      <x:c r="R45" s="31"/>
      <x:c r="S45" s="31"/>
      <x:c r="T45" s="31"/>
    </x:row>
    <x:row r="46">
      <x:c r="A46" s="31"/>
      <x:c r="B46" s="31"/>
      <x:c r="C46" s="31"/>
      <x:c r="D46" s="31"/>
      <x:c r="E46" s="31"/>
      <x:c r="F46" s="54"/>
      <x:c r="G46" s="54"/>
      <x:c r="H46" s="54"/>
      <x:c r="I46" s="54"/>
      <x:c r="J46" s="54"/>
      <x:c r="K46" s="54"/>
      <x:c r="L46" s="54"/>
      <x:c r="M46" s="58"/>
      <x:c r="N46" s="54" t="str">
        <x:f>IF(F46="","",ROUND((F46+G46+H46+I46+J46+K46+L46)*(1+M46),2))</x:f>
      </x:c>
      <x:c r="O46" s="31"/>
      <x:c r="P46" s="31"/>
      <x:c r="Q46" s="36"/>
      <x:c r="R46" s="31"/>
      <x:c r="S46" s="31"/>
      <x:c r="T46" s="31"/>
    </x:row>
    <x:row r="47">
      <x:c r="A47" s="31"/>
      <x:c r="B47" s="31"/>
      <x:c r="C47" s="31"/>
      <x:c r="D47" s="31"/>
      <x:c r="E47" s="31"/>
      <x:c r="F47" s="54"/>
      <x:c r="G47" s="54"/>
      <x:c r="H47" s="54"/>
      <x:c r="I47" s="54"/>
      <x:c r="J47" s="54"/>
      <x:c r="K47" s="54"/>
      <x:c r="L47" s="54"/>
      <x:c r="M47" s="58"/>
      <x:c r="N47" s="54" t="str">
        <x:f>IF(F47="","",ROUND((F47+G47+H47+I47+J47+K47+L47)*(1+M47),2))</x:f>
      </x:c>
      <x:c r="O47" s="31"/>
      <x:c r="P47" s="31"/>
      <x:c r="Q47" s="36"/>
      <x:c r="R47" s="31"/>
      <x:c r="S47" s="31"/>
      <x:c r="T47" s="31"/>
    </x:row>
    <x:row r="48">
      <x:c r="A48" s="31"/>
      <x:c r="B48" s="31"/>
      <x:c r="C48" s="31"/>
      <x:c r="D48" s="31"/>
      <x:c r="E48" s="31"/>
      <x:c r="F48" s="54"/>
      <x:c r="G48" s="54"/>
      <x:c r="H48" s="54"/>
      <x:c r="I48" s="54"/>
      <x:c r="J48" s="54"/>
      <x:c r="K48" s="54"/>
      <x:c r="L48" s="54"/>
      <x:c r="M48" s="58"/>
      <x:c r="N48" s="54" t="str">
        <x:f>IF(F48="","",ROUND((F48+G48+H48+I48+J48+K48+L48)*(1+M48),2))</x:f>
      </x:c>
      <x:c r="O48" s="31"/>
      <x:c r="P48" s="31"/>
      <x:c r="Q48" s="36"/>
      <x:c r="R48" s="31"/>
      <x:c r="S48" s="31"/>
      <x:c r="T48" s="31"/>
    </x:row>
    <x:row r="49">
      <x:c r="A49" s="31"/>
      <x:c r="B49" s="31"/>
      <x:c r="C49" s="31"/>
      <x:c r="D49" s="31"/>
      <x:c r="E49" s="31"/>
      <x:c r="F49" s="54"/>
      <x:c r="G49" s="54"/>
      <x:c r="H49" s="54"/>
      <x:c r="I49" s="54"/>
      <x:c r="J49" s="54"/>
      <x:c r="K49" s="54"/>
      <x:c r="L49" s="54"/>
      <x:c r="M49" s="58"/>
      <x:c r="N49" s="54" t="str">
        <x:f>IF(F49="","",ROUND((F49+G49+H49+I49+J49+K49+L49)*(1+M49),2))</x:f>
      </x:c>
      <x:c r="O49" s="31"/>
      <x:c r="P49" s="31"/>
      <x:c r="Q49" s="36"/>
      <x:c r="R49" s="31"/>
      <x:c r="S49" s="31"/>
      <x:c r="T49" s="31"/>
    </x:row>
    <x:row r="50">
      <x:c r="A50" s="31"/>
      <x:c r="B50" s="31"/>
      <x:c r="C50" s="31"/>
      <x:c r="D50" s="31"/>
      <x:c r="E50" s="31"/>
      <x:c r="F50" s="54"/>
      <x:c r="G50" s="54"/>
      <x:c r="H50" s="54"/>
      <x:c r="I50" s="54"/>
      <x:c r="J50" s="54"/>
      <x:c r="K50" s="54"/>
      <x:c r="L50" s="54"/>
      <x:c r="M50" s="58"/>
      <x:c r="N50" s="54" t="str">
        <x:f>IF(F50="","",ROUND((F50+G50+H50+I50+J50+K50+L50)*(1+M50),2))</x:f>
      </x:c>
      <x:c r="O50" s="31"/>
      <x:c r="P50" s="31"/>
      <x:c r="Q50" s="36"/>
      <x:c r="R50" s="31"/>
      <x:c r="S50" s="31"/>
      <x:c r="T50" s="31"/>
    </x:row>
    <x:row r="51">
      <x:c r="A51" s="31"/>
      <x:c r="B51" s="31"/>
      <x:c r="C51" s="31"/>
      <x:c r="D51" s="31"/>
      <x:c r="E51" s="31"/>
      <x:c r="F51" s="54"/>
      <x:c r="G51" s="54"/>
      <x:c r="H51" s="54"/>
      <x:c r="I51" s="54"/>
      <x:c r="J51" s="54"/>
      <x:c r="K51" s="54"/>
      <x:c r="L51" s="54"/>
      <x:c r="M51" s="58"/>
      <x:c r="N51" s="54" t="str">
        <x:f>IF(F51="","",ROUND((F51+G51+H51+I51+J51+K51+L51)*(1+M51),2))</x:f>
      </x:c>
      <x:c r="O51" s="31"/>
      <x:c r="P51" s="31"/>
      <x:c r="Q51" s="36"/>
      <x:c r="R51" s="31"/>
      <x:c r="S51" s="31"/>
      <x:c r="T51" s="31"/>
    </x:row>
    <x:row r="52">
      <x:c r="A52" s="31"/>
      <x:c r="B52" s="31"/>
      <x:c r="C52" s="31"/>
      <x:c r="D52" s="31"/>
      <x:c r="E52" s="31"/>
      <x:c r="F52" s="54"/>
      <x:c r="G52" s="54"/>
      <x:c r="H52" s="54"/>
      <x:c r="I52" s="54"/>
      <x:c r="J52" s="54"/>
      <x:c r="K52" s="54"/>
      <x:c r="L52" s="54"/>
      <x:c r="M52" s="58"/>
      <x:c r="N52" s="54" t="str">
        <x:f>IF(F52="","",ROUND((F52+G52+H52+I52+J52+K52+L52)*(1+M52),2))</x:f>
      </x:c>
      <x:c r="O52" s="31"/>
      <x:c r="P52" s="31"/>
      <x:c r="Q52" s="36"/>
      <x:c r="R52" s="31"/>
      <x:c r="S52" s="31"/>
      <x:c r="T52" s="31"/>
    </x:row>
    <x:row r="53">
      <x:c r="A53" s="31"/>
      <x:c r="B53" s="31"/>
      <x:c r="C53" s="31"/>
      <x:c r="D53" s="31"/>
      <x:c r="E53" s="31"/>
      <x:c r="F53" s="54"/>
      <x:c r="G53" s="54"/>
      <x:c r="H53" s="54"/>
      <x:c r="I53" s="54"/>
      <x:c r="J53" s="54"/>
      <x:c r="K53" s="54"/>
      <x:c r="L53" s="54"/>
      <x:c r="M53" s="58"/>
      <x:c r="N53" s="54" t="str">
        <x:f>IF(F53="","",ROUND((F53+G53+H53+I53+J53+K53+L53)*(1+M53),2))</x:f>
      </x:c>
      <x:c r="O53" s="31"/>
      <x:c r="P53" s="31"/>
      <x:c r="Q53" s="36"/>
      <x:c r="R53" s="31"/>
      <x:c r="S53" s="31"/>
      <x:c r="T53" s="31"/>
    </x:row>
    <x:row r="54">
      <x:c r="A54" s="31"/>
      <x:c r="B54" s="31"/>
      <x:c r="C54" s="31"/>
      <x:c r="D54" s="31"/>
      <x:c r="E54" s="31"/>
      <x:c r="F54" s="54"/>
      <x:c r="G54" s="54"/>
      <x:c r="H54" s="54"/>
      <x:c r="I54" s="54"/>
      <x:c r="J54" s="54"/>
      <x:c r="K54" s="54"/>
      <x:c r="L54" s="54"/>
      <x:c r="M54" s="58"/>
      <x:c r="N54" s="54" t="str">
        <x:f>IF(F54="","",ROUND((F54+G54+H54+I54+J54+K54+L54)*(1+M54),2))</x:f>
      </x:c>
      <x:c r="O54" s="31"/>
      <x:c r="P54" s="31"/>
      <x:c r="Q54" s="36"/>
      <x:c r="R54" s="31"/>
      <x:c r="S54" s="31"/>
      <x:c r="T54" s="31"/>
    </x:row>
    <x:row r="55">
      <x:c r="A55" s="31"/>
      <x:c r="B55" s="31"/>
      <x:c r="C55" s="31"/>
      <x:c r="D55" s="31"/>
      <x:c r="E55" s="31"/>
      <x:c r="F55" s="54"/>
      <x:c r="G55" s="54"/>
      <x:c r="H55" s="54"/>
      <x:c r="I55" s="54"/>
      <x:c r="J55" s="54"/>
      <x:c r="K55" s="54"/>
      <x:c r="L55" s="54"/>
      <x:c r="M55" s="58"/>
      <x:c r="N55" s="54" t="str">
        <x:f>IF(F55="","",ROUND((F55+G55+H55+I55+J55+K55+L55)*(1+M55),2))</x:f>
      </x:c>
      <x:c r="O55" s="31"/>
      <x:c r="P55" s="31"/>
      <x:c r="Q55" s="36"/>
      <x:c r="R55" s="31"/>
      <x:c r="S55" s="31"/>
      <x:c r="T55" s="31"/>
    </x:row>
    <x:row r="56">
      <x:c r="A56" s="31"/>
      <x:c r="B56" s="31"/>
      <x:c r="C56" s="31"/>
      <x:c r="D56" s="31"/>
      <x:c r="E56" s="31"/>
      <x:c r="F56" s="54"/>
      <x:c r="G56" s="54"/>
      <x:c r="H56" s="54"/>
      <x:c r="I56" s="54"/>
      <x:c r="J56" s="54"/>
      <x:c r="K56" s="54"/>
      <x:c r="L56" s="54"/>
      <x:c r="M56" s="58"/>
      <x:c r="N56" s="54" t="str">
        <x:f>IF(F56="","",ROUND((F56+G56+H56+I56+J56+K56+L56)*(1+M56),2))</x:f>
      </x:c>
      <x:c r="O56" s="31"/>
      <x:c r="P56" s="31"/>
      <x:c r="Q56" s="36"/>
      <x:c r="R56" s="31"/>
      <x:c r="S56" s="31"/>
      <x:c r="T56" s="31"/>
    </x:row>
    <x:row r="57">
      <x:c r="A57" s="31"/>
      <x:c r="B57" s="31"/>
      <x:c r="C57" s="31"/>
      <x:c r="D57" s="31"/>
      <x:c r="E57" s="31"/>
      <x:c r="F57" s="54"/>
      <x:c r="G57" s="54"/>
      <x:c r="H57" s="54"/>
      <x:c r="I57" s="54"/>
      <x:c r="J57" s="54"/>
      <x:c r="K57" s="54"/>
      <x:c r="L57" s="54"/>
      <x:c r="M57" s="58"/>
      <x:c r="N57" s="54" t="str">
        <x:f>IF(F57="","",ROUND((F57+G57+H57+I57+J57+K57+L57)*(1+M57),2))</x:f>
      </x:c>
      <x:c r="O57" s="31"/>
      <x:c r="P57" s="31"/>
      <x:c r="Q57" s="36"/>
      <x:c r="R57" s="31"/>
      <x:c r="S57" s="31"/>
      <x:c r="T57" s="31"/>
    </x:row>
    <x:row r="58">
      <x:c r="A58" s="31"/>
      <x:c r="B58" s="31"/>
      <x:c r="C58" s="31"/>
      <x:c r="D58" s="31"/>
      <x:c r="E58" s="31"/>
      <x:c r="F58" s="54"/>
      <x:c r="G58" s="54"/>
      <x:c r="H58" s="54"/>
      <x:c r="I58" s="54"/>
      <x:c r="J58" s="54"/>
      <x:c r="K58" s="54"/>
      <x:c r="L58" s="54"/>
      <x:c r="M58" s="58"/>
      <x:c r="N58" s="54" t="str">
        <x:f>IF(F58="","",ROUND((F58+G58+H58+I58+J58+K58+L58)*(1+M58),2))</x:f>
      </x:c>
      <x:c r="O58" s="31"/>
      <x:c r="P58" s="31"/>
      <x:c r="Q58" s="36"/>
      <x:c r="R58" s="31"/>
      <x:c r="S58" s="31"/>
      <x:c r="T58" s="31"/>
    </x:row>
    <x:row r="59">
      <x:c r="A59" s="31"/>
      <x:c r="B59" s="31"/>
      <x:c r="C59" s="31"/>
      <x:c r="D59" s="31"/>
      <x:c r="E59" s="31"/>
      <x:c r="F59" s="54"/>
      <x:c r="G59" s="54"/>
      <x:c r="H59" s="54"/>
      <x:c r="I59" s="54"/>
      <x:c r="J59" s="54"/>
      <x:c r="K59" s="54"/>
      <x:c r="L59" s="54"/>
      <x:c r="M59" s="58"/>
      <x:c r="N59" s="54" t="str">
        <x:f>IF(F59="","",ROUND((F59+G59+H59+I59+J59+K59+L59)*(1+M59),2))</x:f>
      </x:c>
      <x:c r="O59" s="31"/>
      <x:c r="P59" s="31"/>
      <x:c r="Q59" s="36"/>
      <x:c r="R59" s="31"/>
      <x:c r="S59" s="31"/>
      <x:c r="T59" s="31"/>
    </x:row>
    <x:row r="60">
      <x:c r="A60" s="31"/>
      <x:c r="B60" s="31"/>
      <x:c r="C60" s="31"/>
      <x:c r="D60" s="31"/>
      <x:c r="E60" s="31"/>
      <x:c r="F60" s="54"/>
      <x:c r="G60" s="54"/>
      <x:c r="H60" s="54"/>
      <x:c r="I60" s="54"/>
      <x:c r="J60" s="54"/>
      <x:c r="K60" s="54"/>
      <x:c r="L60" s="54"/>
      <x:c r="M60" s="58"/>
      <x:c r="N60" s="54" t="str">
        <x:f>IF(F60="","",ROUND((F60+G60+H60+I60+J60+K60+L60)*(1+M60),2))</x:f>
      </x:c>
      <x:c r="O60" s="31"/>
      <x:c r="P60" s="31"/>
      <x:c r="Q60" s="36"/>
      <x:c r="R60" s="31"/>
      <x:c r="S60" s="31"/>
      <x:c r="T60" s="31"/>
    </x:row>
    <x:row r="61">
      <x:c r="A61" s="31"/>
      <x:c r="B61" s="31"/>
      <x:c r="C61" s="31"/>
      <x:c r="D61" s="31"/>
      <x:c r="E61" s="31"/>
      <x:c r="F61" s="54"/>
      <x:c r="G61" s="54"/>
      <x:c r="H61" s="54"/>
      <x:c r="I61" s="54"/>
      <x:c r="J61" s="54"/>
      <x:c r="K61" s="54"/>
      <x:c r="L61" s="54"/>
      <x:c r="M61" s="58"/>
      <x:c r="N61" s="54" t="str">
        <x:f>IF(F61="","",ROUND((F61+G61+H61+I61+J61+K61+L61)*(1+M61),2))</x:f>
      </x:c>
      <x:c r="O61" s="31"/>
      <x:c r="P61" s="31"/>
      <x:c r="Q61" s="36"/>
      <x:c r="R61" s="31"/>
      <x:c r="S61" s="31"/>
      <x:c r="T61" s="31"/>
    </x:row>
    <x:row r="62">
      <x:c r="A62" s="31"/>
      <x:c r="B62" s="31"/>
      <x:c r="C62" s="31"/>
      <x:c r="D62" s="31"/>
      <x:c r="E62" s="31"/>
      <x:c r="F62" s="54"/>
      <x:c r="G62" s="54"/>
      <x:c r="H62" s="54"/>
      <x:c r="I62" s="54"/>
      <x:c r="J62" s="54"/>
      <x:c r="K62" s="54"/>
      <x:c r="L62" s="54"/>
      <x:c r="M62" s="58"/>
      <x:c r="N62" s="54" t="str">
        <x:f>IF(F62="","",ROUND((F62+G62+H62+I62+J62+K62+L62)*(1+M62),2))</x:f>
      </x:c>
      <x:c r="O62" s="31"/>
      <x:c r="P62" s="31"/>
      <x:c r="Q62" s="36"/>
      <x:c r="R62" s="31"/>
      <x:c r="S62" s="31"/>
      <x:c r="T62" s="31"/>
    </x:row>
    <x:row r="63">
      <x:c r="A63" s="31"/>
      <x:c r="B63" s="31"/>
      <x:c r="C63" s="31"/>
      <x:c r="D63" s="31"/>
      <x:c r="E63" s="31"/>
      <x:c r="F63" s="54"/>
      <x:c r="G63" s="54"/>
      <x:c r="H63" s="54"/>
      <x:c r="I63" s="54"/>
      <x:c r="J63" s="54"/>
      <x:c r="K63" s="54"/>
      <x:c r="L63" s="54"/>
      <x:c r="M63" s="58"/>
      <x:c r="N63" s="54" t="str">
        <x:f>IF(F63="","",ROUND((F63+G63+H63+I63+J63+K63+L63)*(1+M63),2))</x:f>
      </x:c>
      <x:c r="O63" s="31"/>
      <x:c r="P63" s="31"/>
      <x:c r="Q63" s="36"/>
      <x:c r="R63" s="31"/>
      <x:c r="S63" s="31"/>
      <x:c r="T63" s="31"/>
    </x:row>
    <x:row r="64">
      <x:c r="A64" s="31"/>
      <x:c r="B64" s="31"/>
      <x:c r="C64" s="31"/>
      <x:c r="D64" s="31"/>
      <x:c r="E64" s="31"/>
      <x:c r="F64" s="54"/>
      <x:c r="G64" s="54"/>
      <x:c r="H64" s="54"/>
      <x:c r="I64" s="54"/>
      <x:c r="J64" s="54"/>
      <x:c r="K64" s="54"/>
      <x:c r="L64" s="54"/>
      <x:c r="M64" s="58"/>
      <x:c r="N64" s="54" t="str">
        <x:f>IF(F64="","",ROUND((F64+G64+H64+I64+J64+K64+L64)*(1+M64),2))</x:f>
      </x:c>
      <x:c r="O64" s="31"/>
      <x:c r="P64" s="31"/>
      <x:c r="Q64" s="36"/>
      <x:c r="R64" s="31"/>
      <x:c r="S64" s="31"/>
      <x:c r="T64" s="31"/>
    </x:row>
    <x:row r="65">
      <x:c r="A65" s="31"/>
      <x:c r="B65" s="31"/>
      <x:c r="C65" s="31"/>
      <x:c r="D65" s="31"/>
      <x:c r="E65" s="31"/>
      <x:c r="F65" s="54"/>
      <x:c r="G65" s="54"/>
      <x:c r="H65" s="54"/>
      <x:c r="I65" s="54"/>
      <x:c r="J65" s="54"/>
      <x:c r="K65" s="54"/>
      <x:c r="L65" s="54"/>
      <x:c r="M65" s="58"/>
      <x:c r="N65" s="54" t="str">
        <x:f>IF(F65="","",ROUND((F65+G65+H65+I65+J65+K65+L65)*(1+M65),2))</x:f>
      </x:c>
      <x:c r="O65" s="31"/>
      <x:c r="P65" s="31"/>
      <x:c r="Q65" s="36"/>
      <x:c r="R65" s="31"/>
      <x:c r="S65" s="31"/>
      <x:c r="T65" s="31"/>
    </x:row>
    <x:row r="66">
      <x:c r="A66" s="31"/>
      <x:c r="B66" s="31"/>
      <x:c r="C66" s="31"/>
      <x:c r="D66" s="31"/>
      <x:c r="E66" s="31"/>
      <x:c r="F66" s="54"/>
      <x:c r="G66" s="54"/>
      <x:c r="H66" s="54"/>
      <x:c r="I66" s="54"/>
      <x:c r="J66" s="54"/>
      <x:c r="K66" s="54"/>
      <x:c r="L66" s="54"/>
      <x:c r="M66" s="58"/>
      <x:c r="N66" s="54" t="str">
        <x:f>IF(F66="","",ROUND((F66+G66+H66+I66+J66+K66+L66)*(1+M66),2))</x:f>
      </x:c>
      <x:c r="O66" s="31"/>
      <x:c r="P66" s="31"/>
      <x:c r="Q66" s="36"/>
      <x:c r="R66" s="31"/>
      <x:c r="S66" s="31"/>
      <x:c r="T66" s="31"/>
    </x:row>
    <x:row r="67">
      <x:c r="A67" s="31"/>
      <x:c r="B67" s="31"/>
      <x:c r="C67" s="31"/>
      <x:c r="D67" s="31"/>
      <x:c r="E67" s="31"/>
      <x:c r="F67" s="54"/>
      <x:c r="G67" s="54"/>
      <x:c r="H67" s="54"/>
      <x:c r="I67" s="54"/>
      <x:c r="J67" s="54"/>
      <x:c r="K67" s="54"/>
      <x:c r="L67" s="54"/>
      <x:c r="M67" s="58"/>
      <x:c r="N67" s="54" t="str">
        <x:f>IF(F67="","",ROUND((F67+G67+H67+I67+J67+K67+L67)*(1+M67),2))</x:f>
      </x:c>
      <x:c r="O67" s="31"/>
      <x:c r="P67" s="31"/>
      <x:c r="Q67" s="36"/>
      <x:c r="R67" s="31"/>
      <x:c r="S67" s="31"/>
      <x:c r="T67" s="31"/>
    </x:row>
    <x:row r="68">
      <x:c r="A68" s="31"/>
      <x:c r="B68" s="31"/>
      <x:c r="C68" s="31"/>
      <x:c r="D68" s="31"/>
      <x:c r="E68" s="31"/>
      <x:c r="F68" s="54"/>
      <x:c r="G68" s="54"/>
      <x:c r="H68" s="54"/>
      <x:c r="I68" s="54"/>
      <x:c r="J68" s="54"/>
      <x:c r="K68" s="54"/>
      <x:c r="L68" s="54"/>
      <x:c r="M68" s="58"/>
      <x:c r="N68" s="54" t="str">
        <x:f>IF(F68="","",ROUND((F68+G68+H68+I68+J68+K68+L68)*(1+M68),2))</x:f>
      </x:c>
      <x:c r="O68" s="31"/>
      <x:c r="P68" s="31"/>
      <x:c r="Q68" s="36"/>
      <x:c r="R68" s="31"/>
      <x:c r="S68" s="31"/>
      <x:c r="T68" s="31"/>
    </x:row>
    <x:row r="69">
      <x:c r="A69" s="31"/>
      <x:c r="B69" s="31"/>
      <x:c r="C69" s="31"/>
      <x:c r="D69" s="31"/>
      <x:c r="E69" s="31"/>
      <x:c r="F69" s="54"/>
      <x:c r="G69" s="54"/>
      <x:c r="H69" s="54"/>
      <x:c r="I69" s="54"/>
      <x:c r="J69" s="54"/>
      <x:c r="K69" s="54"/>
      <x:c r="L69" s="54"/>
      <x:c r="M69" s="58"/>
      <x:c r="N69" s="54" t="str">
        <x:f>IF(F69="","",ROUND((F69+G69+H69+I69+J69+K69+L69)*(1+M69),2))</x:f>
      </x:c>
      <x:c r="O69" s="31"/>
      <x:c r="P69" s="31"/>
      <x:c r="Q69" s="36"/>
      <x:c r="R69" s="31"/>
      <x:c r="S69" s="31"/>
      <x:c r="T69" s="31"/>
    </x:row>
    <x:row r="70">
      <x:c r="A70" s="31"/>
      <x:c r="B70" s="31"/>
      <x:c r="C70" s="31"/>
      <x:c r="D70" s="31"/>
      <x:c r="E70" s="31"/>
      <x:c r="F70" s="54"/>
      <x:c r="G70" s="54"/>
      <x:c r="H70" s="54"/>
      <x:c r="I70" s="54"/>
      <x:c r="J70" s="54"/>
      <x:c r="K70" s="54"/>
      <x:c r="L70" s="54"/>
      <x:c r="M70" s="58"/>
      <x:c r="N70" s="54" t="str">
        <x:f>IF(F70="","",ROUND((F70+G70+H70+I70+J70+K70+L70)*(1+M70),2))</x:f>
      </x:c>
      <x:c r="O70" s="31"/>
      <x:c r="P70" s="31"/>
      <x:c r="Q70" s="36"/>
      <x:c r="R70" s="31"/>
      <x:c r="S70" s="31"/>
      <x:c r="T70" s="31"/>
    </x:row>
    <x:row r="71">
      <x:c r="A71" s="31"/>
      <x:c r="B71" s="31"/>
      <x:c r="C71" s="31"/>
      <x:c r="D71" s="31"/>
      <x:c r="E71" s="31"/>
      <x:c r="F71" s="54"/>
      <x:c r="G71" s="54"/>
      <x:c r="H71" s="54"/>
      <x:c r="I71" s="54"/>
      <x:c r="J71" s="54"/>
      <x:c r="K71" s="54"/>
      <x:c r="L71" s="54"/>
      <x:c r="M71" s="58"/>
      <x:c r="N71" s="54" t="str">
        <x:f>IF(F71="","",ROUND((F71+G71+H71+I71+J71+K71+L71)*(1+M71),2))</x:f>
      </x:c>
      <x:c r="O71" s="31"/>
      <x:c r="P71" s="31"/>
      <x:c r="Q71" s="36"/>
      <x:c r="R71" s="31"/>
      <x:c r="S71" s="31"/>
      <x:c r="T71" s="31"/>
    </x:row>
    <x:row r="72">
      <x:c r="A72" s="31"/>
      <x:c r="B72" s="31"/>
      <x:c r="C72" s="31"/>
      <x:c r="D72" s="31"/>
      <x:c r="E72" s="31"/>
      <x:c r="F72" s="54"/>
      <x:c r="G72" s="54"/>
      <x:c r="H72" s="54"/>
      <x:c r="I72" s="54"/>
      <x:c r="J72" s="54"/>
      <x:c r="K72" s="54"/>
      <x:c r="L72" s="54"/>
      <x:c r="M72" s="58"/>
      <x:c r="N72" s="54" t="str">
        <x:f>IF(F72="","",ROUND((F72+G72+H72+I72+J72+K72+L72)*(1+M72),2))</x:f>
      </x:c>
      <x:c r="O72" s="31"/>
      <x:c r="P72" s="31"/>
      <x:c r="Q72" s="36"/>
      <x:c r="R72" s="31"/>
      <x:c r="S72" s="31"/>
      <x:c r="T72" s="31"/>
    </x:row>
    <x:row r="73">
      <x:c r="A73" s="31"/>
      <x:c r="B73" s="31"/>
      <x:c r="C73" s="31"/>
      <x:c r="D73" s="31"/>
      <x:c r="E73" s="31"/>
      <x:c r="F73" s="54"/>
      <x:c r="G73" s="54"/>
      <x:c r="H73" s="54"/>
      <x:c r="I73" s="54"/>
      <x:c r="J73" s="54"/>
      <x:c r="K73" s="54"/>
      <x:c r="L73" s="54"/>
      <x:c r="M73" s="58"/>
      <x:c r="N73" s="54" t="str">
        <x:f>IF(F73="","",ROUND((F73+G73+H73+I73+J73+K73+L73)*(1+M73),2))</x:f>
      </x:c>
      <x:c r="O73" s="31"/>
      <x:c r="P73" s="31"/>
      <x:c r="Q73" s="36"/>
      <x:c r="R73" s="31"/>
      <x:c r="S73" s="31"/>
      <x:c r="T73" s="31"/>
    </x:row>
    <x:row r="74">
      <x:c r="A74" s="31"/>
      <x:c r="B74" s="31"/>
      <x:c r="C74" s="31"/>
      <x:c r="D74" s="31"/>
      <x:c r="E74" s="31"/>
      <x:c r="F74" s="54"/>
      <x:c r="G74" s="54"/>
      <x:c r="H74" s="54"/>
      <x:c r="I74" s="54"/>
      <x:c r="J74" s="54"/>
      <x:c r="K74" s="54"/>
      <x:c r="L74" s="54"/>
      <x:c r="M74" s="58"/>
      <x:c r="N74" s="54" t="str">
        <x:f>IF(F74="","",ROUND((F74+G74+H74+I74+J74+K74+L74)*(1+M74),2))</x:f>
      </x:c>
      <x:c r="O74" s="31"/>
      <x:c r="P74" s="31"/>
      <x:c r="Q74" s="36"/>
      <x:c r="R74" s="31"/>
      <x:c r="S74" s="31"/>
      <x:c r="T74" s="31"/>
    </x:row>
    <x:row r="75">
      <x:c r="A75" s="31"/>
      <x:c r="B75" s="31"/>
      <x:c r="C75" s="31"/>
      <x:c r="D75" s="31"/>
      <x:c r="E75" s="31"/>
      <x:c r="F75" s="54"/>
      <x:c r="G75" s="54"/>
      <x:c r="H75" s="54"/>
      <x:c r="I75" s="54"/>
      <x:c r="J75" s="54"/>
      <x:c r="K75" s="54"/>
      <x:c r="L75" s="54"/>
      <x:c r="M75" s="58"/>
      <x:c r="N75" s="54" t="str">
        <x:f>IF(F75="","",ROUND((F75+G75+H75+I75+J75+K75+L75)*(1+M75),2))</x:f>
      </x:c>
      <x:c r="O75" s="31"/>
      <x:c r="P75" s="31"/>
      <x:c r="Q75" s="36"/>
      <x:c r="R75" s="31"/>
      <x:c r="S75" s="31"/>
      <x:c r="T75" s="31"/>
    </x:row>
    <x:row r="76">
      <x:c r="A76" s="31"/>
      <x:c r="B76" s="31"/>
      <x:c r="C76" s="31"/>
      <x:c r="D76" s="31"/>
      <x:c r="E76" s="31"/>
      <x:c r="F76" s="54"/>
      <x:c r="G76" s="54"/>
      <x:c r="H76" s="54"/>
      <x:c r="I76" s="54"/>
      <x:c r="J76" s="54"/>
      <x:c r="K76" s="54"/>
      <x:c r="L76" s="54"/>
      <x:c r="M76" s="58"/>
      <x:c r="N76" s="54" t="str">
        <x:f>IF(F76="","",ROUND((F76+G76+H76+I76+J76+K76+L76)*(1+M76),2))</x:f>
      </x:c>
      <x:c r="O76" s="31"/>
      <x:c r="P76" s="31"/>
      <x:c r="Q76" s="36"/>
      <x:c r="R76" s="31"/>
      <x:c r="S76" s="31"/>
      <x:c r="T76" s="31"/>
    </x:row>
    <x:row r="77">
      <x:c r="A77" s="31"/>
      <x:c r="B77" s="31"/>
      <x:c r="C77" s="31"/>
      <x:c r="D77" s="31"/>
      <x:c r="E77" s="31"/>
      <x:c r="F77" s="54"/>
      <x:c r="G77" s="54"/>
      <x:c r="H77" s="54"/>
      <x:c r="I77" s="54"/>
      <x:c r="J77" s="54"/>
      <x:c r="K77" s="54"/>
      <x:c r="L77" s="54"/>
      <x:c r="M77" s="58"/>
      <x:c r="N77" s="54" t="str">
        <x:f>IF(F77="","",ROUND((F77+G77+H77+I77+J77+K77+L77)*(1+M77),2))</x:f>
      </x:c>
      <x:c r="O77" s="31"/>
      <x:c r="P77" s="31"/>
      <x:c r="Q77" s="36"/>
      <x:c r="R77" s="31"/>
      <x:c r="S77" s="31"/>
      <x:c r="T77" s="31"/>
    </x:row>
    <x:row r="78">
      <x:c r="A78" s="31"/>
      <x:c r="B78" s="31"/>
      <x:c r="C78" s="31"/>
      <x:c r="D78" s="31"/>
      <x:c r="E78" s="31"/>
      <x:c r="F78" s="54"/>
      <x:c r="G78" s="54"/>
      <x:c r="H78" s="54"/>
      <x:c r="I78" s="54"/>
      <x:c r="J78" s="54"/>
      <x:c r="K78" s="54"/>
      <x:c r="L78" s="54"/>
      <x:c r="M78" s="58"/>
      <x:c r="N78" s="54" t="str">
        <x:f>IF(F78="","",ROUND((F78+G78+H78+I78+J78+K78+L78)*(1+M78),2))</x:f>
      </x:c>
      <x:c r="O78" s="31"/>
      <x:c r="P78" s="31"/>
      <x:c r="Q78" s="36"/>
      <x:c r="R78" s="31"/>
      <x:c r="S78" s="31"/>
      <x:c r="T78" s="31"/>
    </x:row>
    <x:row r="79">
      <x:c r="A79" s="31"/>
      <x:c r="B79" s="31"/>
      <x:c r="C79" s="31"/>
      <x:c r="D79" s="31"/>
      <x:c r="E79" s="31"/>
      <x:c r="F79" s="54"/>
      <x:c r="G79" s="54"/>
      <x:c r="H79" s="54"/>
      <x:c r="I79" s="54"/>
      <x:c r="J79" s="54"/>
      <x:c r="K79" s="54"/>
      <x:c r="L79" s="54"/>
      <x:c r="M79" s="58"/>
      <x:c r="N79" s="54" t="str">
        <x:f>IF(F79="","",ROUND((F79+G79+H79+I79+J79+K79+L79)*(1+M79),2))</x:f>
      </x:c>
      <x:c r="O79" s="31"/>
      <x:c r="P79" s="31"/>
      <x:c r="Q79" s="36"/>
      <x:c r="R79" s="31"/>
      <x:c r="S79" s="31"/>
      <x:c r="T79" s="31"/>
    </x:row>
    <x:row r="80">
      <x:c r="A80" s="31"/>
      <x:c r="B80" s="31"/>
      <x:c r="C80" s="31"/>
      <x:c r="D80" s="31"/>
      <x:c r="E80" s="31"/>
      <x:c r="F80" s="54"/>
      <x:c r="G80" s="54"/>
      <x:c r="H80" s="54"/>
      <x:c r="I80" s="54"/>
      <x:c r="J80" s="54"/>
      <x:c r="K80" s="54"/>
      <x:c r="L80" s="54"/>
      <x:c r="M80" s="58"/>
      <x:c r="N80" s="54" t="str">
        <x:f>IF(F80="","",ROUND((F80+G80+H80+I80+J80+K80+L80)*(1+M80),2))</x:f>
      </x:c>
      <x:c r="O80" s="31"/>
      <x:c r="P80" s="31"/>
      <x:c r="Q80" s="36"/>
      <x:c r="R80" s="31"/>
      <x:c r="S80" s="31"/>
      <x:c r="T80" s="31"/>
    </x:row>
    <x:row r="81">
      <x:c r="A81" s="31"/>
      <x:c r="B81" s="31"/>
      <x:c r="C81" s="31"/>
      <x:c r="D81" s="31"/>
      <x:c r="E81" s="31"/>
      <x:c r="F81" s="54"/>
      <x:c r="G81" s="54"/>
      <x:c r="H81" s="54"/>
      <x:c r="I81" s="54"/>
      <x:c r="J81" s="54"/>
      <x:c r="K81" s="54"/>
      <x:c r="L81" s="54"/>
      <x:c r="M81" s="58"/>
      <x:c r="N81" s="54" t="str">
        <x:f>IF(F81="","",ROUND((F81+G81+H81+I81+J81+K81+L81)*(1+M81),2))</x:f>
      </x:c>
      <x:c r="O81" s="31"/>
      <x:c r="P81" s="31"/>
      <x:c r="Q81" s="36"/>
      <x:c r="R81" s="31"/>
      <x:c r="S81" s="31"/>
      <x:c r="T81" s="31"/>
    </x:row>
    <x:row r="82">
      <x:c r="A82" s="31"/>
      <x:c r="B82" s="31"/>
      <x:c r="C82" s="31"/>
      <x:c r="D82" s="31"/>
      <x:c r="E82" s="31"/>
      <x:c r="F82" s="54"/>
      <x:c r="G82" s="54"/>
      <x:c r="H82" s="54"/>
      <x:c r="I82" s="54"/>
      <x:c r="J82" s="54"/>
      <x:c r="K82" s="54"/>
      <x:c r="L82" s="54"/>
      <x:c r="M82" s="58"/>
      <x:c r="N82" s="54" t="str">
        <x:f>IF(F82="","",ROUND((F82+G82+H82+I82+J82+K82+L82)*(1+M82),2))</x:f>
      </x:c>
      <x:c r="O82" s="31"/>
      <x:c r="P82" s="31"/>
      <x:c r="Q82" s="36"/>
      <x:c r="R82" s="31"/>
      <x:c r="S82" s="31"/>
      <x:c r="T82" s="31"/>
    </x:row>
    <x:row r="83">
      <x:c r="A83" s="31"/>
      <x:c r="B83" s="31"/>
      <x:c r="C83" s="31"/>
      <x:c r="D83" s="31"/>
      <x:c r="E83" s="31"/>
      <x:c r="F83" s="54"/>
      <x:c r="G83" s="54"/>
      <x:c r="H83" s="54"/>
      <x:c r="I83" s="54"/>
      <x:c r="J83" s="54"/>
      <x:c r="K83" s="54"/>
      <x:c r="L83" s="54"/>
      <x:c r="M83" s="58"/>
      <x:c r="N83" s="54" t="str">
        <x:f>IF(F83="","",ROUND((F83+G83+H83+I83+J83+K83+L83)*(1+M83),2))</x:f>
      </x:c>
      <x:c r="O83" s="31"/>
      <x:c r="P83" s="31"/>
      <x:c r="Q83" s="36"/>
      <x:c r="R83" s="31"/>
      <x:c r="S83" s="31"/>
      <x:c r="T83" s="31"/>
    </x:row>
    <x:row r="84">
      <x:c r="A84" s="31"/>
      <x:c r="B84" s="31"/>
      <x:c r="C84" s="31"/>
      <x:c r="D84" s="31"/>
      <x:c r="E84" s="31"/>
      <x:c r="F84" s="54"/>
      <x:c r="G84" s="54"/>
      <x:c r="H84" s="54"/>
      <x:c r="I84" s="54"/>
      <x:c r="J84" s="54"/>
      <x:c r="K84" s="54"/>
      <x:c r="L84" s="54"/>
      <x:c r="M84" s="58"/>
      <x:c r="N84" s="54" t="str">
        <x:f>IF(F84="","",ROUND((F84+G84+H84+I84+J84+K84+L84)*(1+M84),2))</x:f>
      </x:c>
      <x:c r="O84" s="31"/>
      <x:c r="P84" s="31"/>
      <x:c r="Q84" s="36"/>
      <x:c r="R84" s="31"/>
      <x:c r="S84" s="31"/>
      <x:c r="T84" s="31"/>
    </x:row>
    <x:row r="85">
      <x:c r="A85" s="31"/>
      <x:c r="B85" s="31"/>
      <x:c r="C85" s="31"/>
      <x:c r="D85" s="31"/>
      <x:c r="E85" s="31"/>
      <x:c r="F85" s="54"/>
      <x:c r="G85" s="54"/>
      <x:c r="H85" s="54"/>
      <x:c r="I85" s="54"/>
      <x:c r="J85" s="54"/>
      <x:c r="K85" s="54"/>
      <x:c r="L85" s="54"/>
      <x:c r="M85" s="58"/>
      <x:c r="N85" s="54" t="str">
        <x:f>IF(F85="","",ROUND((F85+G85+H85+I85+J85+K85+L85)*(1+M85),2))</x:f>
      </x:c>
      <x:c r="O85" s="31"/>
      <x:c r="P85" s="31"/>
      <x:c r="Q85" s="36"/>
      <x:c r="R85" s="31"/>
      <x:c r="S85" s="31"/>
      <x:c r="T85" s="31"/>
    </x:row>
    <x:row r="86">
      <x:c r="A86" s="31"/>
      <x:c r="B86" s="31"/>
      <x:c r="C86" s="31"/>
      <x:c r="D86" s="31"/>
      <x:c r="E86" s="31"/>
      <x:c r="F86" s="54"/>
      <x:c r="G86" s="54"/>
      <x:c r="H86" s="54"/>
      <x:c r="I86" s="54"/>
      <x:c r="J86" s="54"/>
      <x:c r="K86" s="54"/>
      <x:c r="L86" s="54"/>
      <x:c r="M86" s="58"/>
      <x:c r="N86" s="54" t="str">
        <x:f>IF(F86="","",ROUND((F86+G86+H86+I86+J86+K86+L86)*(1+M86),2))</x:f>
      </x:c>
      <x:c r="O86" s="31"/>
      <x:c r="P86" s="31"/>
      <x:c r="Q86" s="36"/>
      <x:c r="R86" s="31"/>
      <x:c r="S86" s="31"/>
      <x:c r="T86" s="31"/>
    </x:row>
    <x:row r="87">
      <x:c r="A87" s="31"/>
      <x:c r="B87" s="31"/>
      <x:c r="C87" s="31"/>
      <x:c r="D87" s="31"/>
      <x:c r="E87" s="31"/>
      <x:c r="F87" s="54"/>
      <x:c r="G87" s="54"/>
      <x:c r="H87" s="54"/>
      <x:c r="I87" s="54"/>
      <x:c r="J87" s="54"/>
      <x:c r="K87" s="54"/>
      <x:c r="L87" s="54"/>
      <x:c r="M87" s="58"/>
      <x:c r="N87" s="54" t="str">
        <x:f>IF(F87="","",ROUND((F87+G87+H87+I87+J87+K87+L87)*(1+M87),2))</x:f>
      </x:c>
      <x:c r="O87" s="31"/>
      <x:c r="P87" s="31"/>
      <x:c r="Q87" s="36"/>
      <x:c r="R87" s="31"/>
      <x:c r="S87" s="31"/>
      <x:c r="T87" s="31"/>
    </x:row>
    <x:row r="88">
      <x:c r="A88" s="31"/>
      <x:c r="B88" s="31"/>
      <x:c r="C88" s="31"/>
      <x:c r="D88" s="31"/>
      <x:c r="E88" s="31"/>
      <x:c r="F88" s="54"/>
      <x:c r="G88" s="54"/>
      <x:c r="H88" s="54"/>
      <x:c r="I88" s="54"/>
      <x:c r="J88" s="54"/>
      <x:c r="K88" s="54"/>
      <x:c r="L88" s="54"/>
      <x:c r="M88" s="58"/>
      <x:c r="N88" s="54" t="str">
        <x:f>IF(F88="","",ROUND((F88+G88+H88+I88+J88+K88+L88)*(1+M88),2))</x:f>
      </x:c>
      <x:c r="O88" s="31"/>
      <x:c r="P88" s="31"/>
      <x:c r="Q88" s="36"/>
      <x:c r="R88" s="31"/>
      <x:c r="S88" s="31"/>
      <x:c r="T88" s="31"/>
    </x:row>
    <x:row r="89">
      <x:c r="A89" s="31"/>
      <x:c r="B89" s="31"/>
      <x:c r="C89" s="31"/>
      <x:c r="D89" s="31"/>
      <x:c r="E89" s="31"/>
      <x:c r="F89" s="54"/>
      <x:c r="G89" s="54"/>
      <x:c r="H89" s="54"/>
      <x:c r="I89" s="54"/>
      <x:c r="J89" s="54"/>
      <x:c r="K89" s="54"/>
      <x:c r="L89" s="54"/>
      <x:c r="M89" s="58"/>
      <x:c r="N89" s="54" t="str">
        <x:f>IF(F89="","",ROUND((F89+G89+H89+I89+J89+K89+L89)*(1+M89),2))</x:f>
      </x:c>
      <x:c r="O89" s="31"/>
      <x:c r="P89" s="31"/>
      <x:c r="Q89" s="36"/>
      <x:c r="R89" s="31"/>
      <x:c r="S89" s="31"/>
      <x:c r="T89" s="31"/>
    </x:row>
    <x:row r="90">
      <x:c r="A90" s="31"/>
      <x:c r="B90" s="31"/>
      <x:c r="C90" s="31"/>
      <x:c r="D90" s="31"/>
      <x:c r="E90" s="31"/>
      <x:c r="F90" s="54"/>
      <x:c r="G90" s="54"/>
      <x:c r="H90" s="54"/>
      <x:c r="I90" s="54"/>
      <x:c r="J90" s="54"/>
      <x:c r="K90" s="54"/>
      <x:c r="L90" s="54"/>
      <x:c r="M90" s="58"/>
      <x:c r="N90" s="54" t="str">
        <x:f>IF(F90="","",ROUND((F90+G90+H90+I90+J90+K90+L90)*(1+M90),2))</x:f>
      </x:c>
      <x:c r="O90" s="31"/>
      <x:c r="P90" s="31"/>
      <x:c r="Q90" s="36"/>
      <x:c r="R90" s="31"/>
      <x:c r="S90" s="31"/>
      <x:c r="T90" s="31"/>
    </x:row>
    <x:row r="91">
      <x:c r="A91" s="31"/>
      <x:c r="B91" s="31"/>
      <x:c r="C91" s="31"/>
      <x:c r="D91" s="31"/>
      <x:c r="E91" s="31"/>
      <x:c r="F91" s="54"/>
      <x:c r="G91" s="54"/>
      <x:c r="H91" s="54"/>
      <x:c r="I91" s="54"/>
      <x:c r="J91" s="54"/>
      <x:c r="K91" s="54"/>
      <x:c r="L91" s="54"/>
      <x:c r="M91" s="58"/>
      <x:c r="N91" s="54" t="str">
        <x:f>IF(F91="","",ROUND((F91+G91+H91+I91+J91+K91+L91)*(1+M91),2))</x:f>
      </x:c>
      <x:c r="O91" s="31"/>
      <x:c r="P91" s="31"/>
      <x:c r="Q91" s="36"/>
      <x:c r="R91" s="31"/>
      <x:c r="S91" s="31"/>
      <x:c r="T91" s="31"/>
    </x:row>
    <x:row r="92">
      <x:c r="A92" s="31"/>
      <x:c r="B92" s="31"/>
      <x:c r="C92" s="31"/>
      <x:c r="D92" s="31"/>
      <x:c r="E92" s="31"/>
      <x:c r="F92" s="54"/>
      <x:c r="G92" s="54"/>
      <x:c r="H92" s="54"/>
      <x:c r="I92" s="54"/>
      <x:c r="J92" s="54"/>
      <x:c r="K92" s="54"/>
      <x:c r="L92" s="54"/>
      <x:c r="M92" s="58"/>
      <x:c r="N92" s="54" t="str">
        <x:f>IF(F92="","",ROUND((F92+G92+H92+I92+J92+K92+L92)*(1+M92),2))</x:f>
      </x:c>
      <x:c r="O92" s="31"/>
      <x:c r="P92" s="31"/>
      <x:c r="Q92" s="36"/>
      <x:c r="R92" s="31"/>
      <x:c r="S92" s="31"/>
      <x:c r="T92" s="31"/>
    </x:row>
    <x:row r="93">
      <x:c r="A93" s="31"/>
      <x:c r="B93" s="31"/>
      <x:c r="C93" s="31"/>
      <x:c r="D93" s="31"/>
      <x:c r="E93" s="31"/>
      <x:c r="F93" s="54"/>
      <x:c r="G93" s="54"/>
      <x:c r="H93" s="54"/>
      <x:c r="I93" s="54"/>
      <x:c r="J93" s="54"/>
      <x:c r="K93" s="54"/>
      <x:c r="L93" s="54"/>
      <x:c r="M93" s="58"/>
      <x:c r="N93" s="54" t="str">
        <x:f>IF(F93="","",ROUND((F93+G93+H93+I93+J93+K93+L93)*(1+M93),2))</x:f>
      </x:c>
      <x:c r="O93" s="31"/>
      <x:c r="P93" s="31"/>
      <x:c r="Q93" s="36"/>
      <x:c r="R93" s="31"/>
      <x:c r="S93" s="31"/>
      <x:c r="T93" s="31"/>
    </x:row>
    <x:row r="94">
      <x:c r="A94" s="31"/>
      <x:c r="B94" s="31"/>
      <x:c r="C94" s="31"/>
      <x:c r="D94" s="31"/>
      <x:c r="E94" s="31"/>
      <x:c r="F94" s="54"/>
      <x:c r="G94" s="54"/>
      <x:c r="H94" s="54"/>
      <x:c r="I94" s="54"/>
      <x:c r="J94" s="54"/>
      <x:c r="K94" s="54"/>
      <x:c r="L94" s="54"/>
      <x:c r="M94" s="58"/>
      <x:c r="N94" s="54" t="str">
        <x:f>IF(F94="","",ROUND((F94+G94+H94+I94+J94+K94+L94)*(1+M94),2))</x:f>
      </x:c>
      <x:c r="O94" s="31"/>
      <x:c r="P94" s="31"/>
      <x:c r="Q94" s="36"/>
      <x:c r="R94" s="31"/>
      <x:c r="S94" s="31"/>
      <x:c r="T94" s="31"/>
    </x:row>
    <x:row r="95">
      <x:c r="A95" s="31"/>
      <x:c r="B95" s="31"/>
      <x:c r="C95" s="31"/>
      <x:c r="D95" s="31"/>
      <x:c r="E95" s="31"/>
      <x:c r="F95" s="54"/>
      <x:c r="G95" s="54"/>
      <x:c r="H95" s="54"/>
      <x:c r="I95" s="54"/>
      <x:c r="J95" s="54"/>
      <x:c r="K95" s="54"/>
      <x:c r="L95" s="54"/>
      <x:c r="M95" s="58"/>
      <x:c r="N95" s="54" t="str">
        <x:f>IF(F95="","",ROUND((F95+G95+H95+I95+J95+K95+L95)*(1+M95),2))</x:f>
      </x:c>
      <x:c r="O95" s="31"/>
      <x:c r="P95" s="31"/>
      <x:c r="Q95" s="36"/>
      <x:c r="R95" s="31"/>
      <x:c r="S95" s="31"/>
      <x:c r="T95" s="31"/>
    </x:row>
    <x:row r="96">
      <x:c r="A96" s="31"/>
      <x:c r="B96" s="31"/>
      <x:c r="C96" s="31"/>
      <x:c r="D96" s="31"/>
      <x:c r="E96" s="31"/>
      <x:c r="F96" s="54"/>
      <x:c r="G96" s="54"/>
      <x:c r="H96" s="54"/>
      <x:c r="I96" s="54"/>
      <x:c r="J96" s="54"/>
      <x:c r="K96" s="54"/>
      <x:c r="L96" s="54"/>
      <x:c r="M96" s="58"/>
      <x:c r="N96" s="54" t="str">
        <x:f>IF(F96="","",ROUND((F96+G96+H96+I96+J96+K96+L96)*(1+M96),2))</x:f>
      </x:c>
      <x:c r="O96" s="31"/>
      <x:c r="P96" s="31"/>
      <x:c r="Q96" s="36"/>
      <x:c r="R96" s="31"/>
      <x:c r="S96" s="31"/>
      <x:c r="T96" s="31"/>
    </x:row>
    <x:row r="97">
      <x:c r="A97" s="31"/>
      <x:c r="B97" s="31"/>
      <x:c r="C97" s="31"/>
      <x:c r="D97" s="31"/>
      <x:c r="E97" s="31"/>
      <x:c r="F97" s="54"/>
      <x:c r="G97" s="54"/>
      <x:c r="H97" s="54"/>
      <x:c r="I97" s="54"/>
      <x:c r="J97" s="54"/>
      <x:c r="K97" s="54"/>
      <x:c r="L97" s="54"/>
      <x:c r="M97" s="58"/>
      <x:c r="N97" s="54" t="str">
        <x:f>IF(F97="","",ROUND((F97+G97+H97+I97+J97+K97+L97)*(1+M97),2))</x:f>
      </x:c>
      <x:c r="O97" s="31"/>
      <x:c r="P97" s="31"/>
      <x:c r="Q97" s="36"/>
      <x:c r="R97" s="31"/>
      <x:c r="S97" s="31"/>
      <x:c r="T97" s="31"/>
    </x:row>
    <x:row r="98">
      <x:c r="A98" s="31"/>
      <x:c r="B98" s="31"/>
      <x:c r="C98" s="31"/>
      <x:c r="D98" s="31"/>
      <x:c r="E98" s="31"/>
      <x:c r="F98" s="54"/>
      <x:c r="G98" s="54"/>
      <x:c r="H98" s="54"/>
      <x:c r="I98" s="54"/>
      <x:c r="J98" s="54"/>
      <x:c r="K98" s="54"/>
      <x:c r="L98" s="54"/>
      <x:c r="M98" s="58"/>
      <x:c r="N98" s="54" t="str">
        <x:f>IF(F98="","",ROUND((F98+G98+H98+I98+J98+K98+L98)*(1+M98),2))</x:f>
      </x:c>
      <x:c r="O98" s="31"/>
      <x:c r="P98" s="31"/>
      <x:c r="Q98" s="36"/>
      <x:c r="R98" s="31"/>
      <x:c r="S98" s="31"/>
      <x:c r="T98" s="31"/>
    </x:row>
    <x:row r="99">
      <x:c r="A99" s="31"/>
      <x:c r="B99" s="31"/>
      <x:c r="C99" s="31"/>
      <x:c r="D99" s="31"/>
      <x:c r="E99" s="31"/>
      <x:c r="F99" s="54"/>
      <x:c r="G99" s="54"/>
      <x:c r="H99" s="54"/>
      <x:c r="I99" s="54"/>
      <x:c r="J99" s="54"/>
      <x:c r="K99" s="54"/>
      <x:c r="L99" s="54"/>
      <x:c r="M99" s="58"/>
      <x:c r="N99" s="54" t="str">
        <x:f>IF(F99="","",ROUND((F99+G99+H99+I99+J99+K99+L99)*(1+M99),2))</x:f>
      </x:c>
      <x:c r="O99" s="31"/>
      <x:c r="P99" s="31"/>
      <x:c r="Q99" s="36"/>
      <x:c r="R99" s="31"/>
      <x:c r="S99" s="31"/>
      <x:c r="T99" s="31"/>
    </x:row>
    <x:row r="100">
      <x:c r="A100" s="31"/>
      <x:c r="B100" s="31"/>
      <x:c r="C100" s="31"/>
      <x:c r="D100" s="31"/>
      <x:c r="E100" s="31"/>
      <x:c r="F100" s="54"/>
      <x:c r="G100" s="54"/>
      <x:c r="H100" s="54"/>
      <x:c r="I100" s="54"/>
      <x:c r="J100" s="54"/>
      <x:c r="K100" s="54"/>
      <x:c r="L100" s="54"/>
      <x:c r="M100" s="58"/>
      <x:c r="N100" s="54" t="str">
        <x:f>IF(F100="","",ROUND((F100+G100+H100+I100+J100+K100+L100)*(1+M100),2))</x:f>
      </x:c>
      <x:c r="O100" s="31"/>
      <x:c r="P100" s="31"/>
      <x:c r="Q100" s="36"/>
      <x:c r="R100" s="31"/>
      <x:c r="S100" s="31"/>
      <x:c r="T100" s="31"/>
    </x:row>
    <x:row r="101">
      <x:c r="A101" s="31"/>
      <x:c r="B101" s="31"/>
      <x:c r="C101" s="31"/>
      <x:c r="D101" s="31"/>
      <x:c r="E101" s="31"/>
      <x:c r="F101" s="54"/>
      <x:c r="G101" s="54"/>
      <x:c r="H101" s="54"/>
      <x:c r="I101" s="54"/>
      <x:c r="J101" s="54"/>
      <x:c r="K101" s="54"/>
      <x:c r="L101" s="54"/>
      <x:c r="M101" s="58"/>
      <x:c r="N101" s="54" t="str">
        <x:f>IF(F101="","",ROUND((F101+G101+H101+I101+J101+K101+L101)*(1+M101),2))</x:f>
      </x:c>
      <x:c r="O101" s="31"/>
      <x:c r="P101" s="31"/>
      <x:c r="Q101" s="36"/>
      <x:c r="R101" s="31"/>
      <x:c r="S101" s="31"/>
      <x:c r="T101" s="31"/>
    </x:row>
    <x:row r="102">
      <x:c r="A102" s="31"/>
      <x:c r="B102" s="31"/>
      <x:c r="C102" s="31"/>
      <x:c r="D102" s="31"/>
      <x:c r="E102" s="31"/>
      <x:c r="F102" s="54"/>
      <x:c r="G102" s="54"/>
      <x:c r="H102" s="54"/>
      <x:c r="I102" s="54"/>
      <x:c r="J102" s="54"/>
      <x:c r="K102" s="54"/>
      <x:c r="L102" s="54"/>
      <x:c r="M102" s="58"/>
      <x:c r="N102" s="54" t="str">
        <x:f>IF(F102="","",ROUND((F102+G102+H102+I102+J102+K102+L102)*(1+M102),2))</x:f>
      </x:c>
      <x:c r="O102" s="31"/>
      <x:c r="P102" s="31"/>
      <x:c r="Q102" s="36"/>
      <x:c r="R102" s="31"/>
      <x:c r="S102" s="31"/>
      <x:c r="T102" s="31"/>
    </x:row>
    <x:row r="103">
      <x:c r="A103" s="31"/>
      <x:c r="B103" s="31"/>
      <x:c r="C103" s="31"/>
      <x:c r="D103" s="31"/>
      <x:c r="E103" s="31"/>
      <x:c r="F103" s="54"/>
      <x:c r="G103" s="54"/>
      <x:c r="H103" s="54"/>
      <x:c r="I103" s="54"/>
      <x:c r="J103" s="54"/>
      <x:c r="K103" s="54"/>
      <x:c r="L103" s="54"/>
      <x:c r="M103" s="58"/>
      <x:c r="N103" s="54" t="str">
        <x:f>IF(F103="","",ROUND((F103+G103+H103+I103+J103+K103+L103)*(1+M103),2))</x:f>
      </x:c>
      <x:c r="O103" s="31"/>
      <x:c r="P103" s="31"/>
      <x:c r="Q103" s="36"/>
      <x:c r="R103" s="31"/>
      <x:c r="S103" s="31"/>
      <x:c r="T103" s="31"/>
    </x:row>
    <x:row r="104">
      <x:c r="A104" s="31"/>
      <x:c r="B104" s="31"/>
      <x:c r="C104" s="31"/>
      <x:c r="D104" s="31"/>
      <x:c r="E104" s="31"/>
      <x:c r="F104" s="54"/>
      <x:c r="G104" s="54"/>
      <x:c r="H104" s="54"/>
      <x:c r="I104" s="54"/>
      <x:c r="J104" s="54"/>
      <x:c r="K104" s="54"/>
      <x:c r="L104" s="54"/>
      <x:c r="M104" s="58"/>
      <x:c r="N104" s="54" t="str">
        <x:f>IF(F104="","",ROUND((F104+G104+H104+I104+J104+K104+L104)*(1+M104),2))</x:f>
      </x:c>
      <x:c r="O104" s="31"/>
      <x:c r="P104" s="31"/>
      <x:c r="Q104" s="36"/>
      <x:c r="R104" s="31"/>
      <x:c r="S104" s="31"/>
      <x:c r="T104" s="31"/>
    </x:row>
    <x:row r="105">
      <x:c r="A105" s="31"/>
      <x:c r="B105" s="31"/>
      <x:c r="C105" s="31"/>
      <x:c r="D105" s="31"/>
      <x:c r="E105" s="31"/>
      <x:c r="F105" s="54"/>
      <x:c r="G105" s="54"/>
      <x:c r="H105" s="54"/>
      <x:c r="I105" s="54"/>
      <x:c r="J105" s="54"/>
      <x:c r="K105" s="54"/>
      <x:c r="L105" s="54"/>
      <x:c r="M105" s="58"/>
      <x:c r="N105" s="54" t="str">
        <x:f>IF(F105="","",ROUND((F105+G105+H105+I105+J105+K105+L105)*(1+M105),2))</x:f>
      </x:c>
      <x:c r="O105" s="31"/>
      <x:c r="P105" s="31"/>
      <x:c r="Q105" s="36"/>
      <x:c r="R105" s="31"/>
      <x:c r="S105" s="31"/>
      <x:c r="T105" s="31"/>
    </x:row>
    <x:row r="106">
      <x:c r="A106" s="31"/>
      <x:c r="B106" s="31"/>
      <x:c r="C106" s="31"/>
      <x:c r="D106" s="31"/>
      <x:c r="E106" s="31"/>
      <x:c r="F106" s="54"/>
      <x:c r="G106" s="54"/>
      <x:c r="H106" s="54"/>
      <x:c r="I106" s="54"/>
      <x:c r="J106" s="54"/>
      <x:c r="K106" s="54"/>
      <x:c r="L106" s="54"/>
      <x:c r="M106" s="58"/>
      <x:c r="N106" s="54" t="str">
        <x:f>IF(F106="","",ROUND((F106+G106+H106+I106+J106+K106+L106)*(1+M106),2))</x:f>
      </x:c>
      <x:c r="O106" s="31"/>
      <x:c r="P106" s="31"/>
      <x:c r="Q106" s="36"/>
      <x:c r="R106" s="31"/>
      <x:c r="S106" s="31"/>
      <x:c r="T106" s="31"/>
    </x:row>
    <x:row r="107">
      <x:c r="A107"/>
      <x:c r="B107"/>
      <x:c r="C107"/>
      <x:c r="D107"/>
      <x:c r="E107"/>
      <x:c r="F107" s="55"/>
      <x:c r="G107" s="55"/>
      <x:c r="H107" s="55"/>
      <x:c r="I107" s="55"/>
      <x:c r="J107" s="55"/>
      <x:c r="K107" s="55"/>
      <x:c r="L107" s="55"/>
      <x:c r="M107" s="59"/>
      <x:c r="N107" s="55" t="str">
        <x:f>IF(F107="","",ROUND((F107+G107+H107+I107+J107+K107+L107)*(1+M107),2))</x:f>
      </x:c>
      <x:c r="O107"/>
      <x:c r="P107"/>
      <x:c r="Q107" s="52"/>
      <x:c r="R107"/>
      <x:c r="S107"/>
      <x:c r="T107"/>
    </x:row>
  </x:sheetData>
  <x:mergeCells>
    <x:mergeCell ref="A1:T1"/>
    <x:mergeCell ref="A2:T2"/>
  </x:mergeCells>
  <x:dataValidations count="1">
    <x:dataValidation type="list" sqref="S5:S107">
      <x:formula1>"Draft,Needs Quote Proof,Ready for Approval,Approved,Sent,Rejected,Expired"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81906b5269466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6.75" hidden="0" customWidth="1"/>
    <x:col min="2" max="2" width="14.630000114440918" hidden="0" customWidth="1"/>
    <x:col min="3" max="3" width="10.5" hidden="0" customWidth="1"/>
    <x:col min="4" max="4" width="22.1299991607666" hidden="0" customWidth="1"/>
    <x:col min="5" max="5" width="28" hidden="0" customWidth="1"/>
    <x:col min="6" max="6" width="11.5" hidden="0" customWidth="1"/>
    <x:col min="7" max="7" width="14" hidden="0" customWidth="1"/>
    <x:col min="8" max="8" width="20.25" hidden="0" customWidth="1"/>
    <x:col min="9" max="9" width="13.380000114440918" hidden="0" customWidth="1"/>
    <x:col min="10" max="10" width="17.1299991607666" hidden="0" customWidth="1"/>
    <x:col min="11" max="11" width="15.880000114440918" hidden="0" customWidth="1"/>
    <x:col min="12" max="12" width="28" hidden="0" customWidth="1"/>
    <x:col min="13" max="13" width="28" hidden="0" customWidth="1"/>
    <x:col min="14" max="14" width="16.8799991607666" hidden="0" customWidth="1"/>
    <x:col min="15" max="15" width="28" hidden="0" customWidth="1"/>
  </x:cols>
  <x:sheetData>
    <x:row r="1" ht="30" customHeight="1">
      <x:c r="A1" s="70" t="str">
        <x:v>SOURCE HEALTH MONITOR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5" t="str">
        <x:v>Track whether each portal/source is working, relevant, broken, login-gated or low quality.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4">
      <x:c r="A4" s="34" t="str">
        <x:v>Source_ID</x:v>
      </x:c>
      <x:c r="B4" s="34" t="str">
        <x:v>Source_Name</x:v>
      </x:c>
      <x:c r="C4" s="34" t="str">
        <x:v>Workflow</x:v>
      </x:c>
      <x:c r="D4" s="34" t="str">
        <x:v>Source_Type</x:v>
      </x:c>
      <x:c r="E4" s="34" t="str">
        <x:v>URL</x:v>
      </x:c>
      <x:c r="F4" s="34" t="str">
        <x:v>Frequency</x:v>
      </x:c>
      <x:c r="G4" s="34" t="str">
        <x:v>Login_Needed</x:v>
      </x:c>
      <x:c r="H4" s="34" t="str">
        <x:v>Health_Status</x:v>
      </x:c>
      <x:c r="I4" s="34" t="str">
        <x:v>Last_Checked</x:v>
      </x:c>
      <x:c r="J4" s="34" t="str">
        <x:v>Last_Result_Count</x:v>
      </x:c>
      <x:c r="K4" s="34" t="str">
        <x:v>Relevance_Score</x:v>
      </x:c>
      <x:c r="L4" s="34" t="str">
        <x:v>Error_Type</x:v>
      </x:c>
      <x:c r="M4" s="34" t="str">
        <x:v>Fix_Action</x:v>
      </x:c>
      <x:c r="N4" s="34" t="str">
        <x:v>Owner</x:v>
      </x:c>
      <x:c r="O4" s="34" t="str">
        <x:v>Notes</x:v>
      </x:c>
    </x:row>
    <x:row r="5">
      <x:c r="A5" s="31" t="str">
        <x:v>SRC-GOV-001</x:v>
      </x:c>
      <x:c r="B5" s="31" t="str">
        <x:v>GeM</x:v>
      </x:c>
      <x:c r="C5" s="31" t="str">
        <x:v>GOV</x:v>
      </x:c>
      <x:c r="D5" s="31" t="str">
        <x:v>Government procurement</x:v>
      </x:c>
      <x:c r="E5" s="31" t="str">
        <x:v>https://gem.gov.in/</x:v>
      </x:c>
      <x:c r="F5" s="31" t="str">
        <x:v>Daily</x:v>
      </x:c>
      <x:c r="G5" s="31" t="str">
        <x:v>Optional</x:v>
      </x:c>
      <x:c r="H5" s="31" t="str">
        <x:v>Working</x:v>
      </x:c>
      <x:c r="I5" s="36" t="n">
        <x:v>46202</x:v>
      </x:c>
      <x:c r="J5" s="31" t="n">
        <x:v>0</x:v>
      </x:c>
      <x:c r="K5" s="40" t="n">
        <x:v>85</x:v>
      </x:c>
      <x:c r="L5" s="31" t="str"/>
      <x:c r="M5" s="31" t="str">
        <x:v>Continue scan</x:v>
      </x:c>
      <x:c r="N5" s="31" t="str">
        <x:v>Radar Agent</x:v>
      </x:c>
      <x:c r="O5" s="31" t="str"/>
    </x:row>
    <x:row r="6">
      <x:c r="A6" s="31" t="str">
        <x:v>SRC-GOV-002</x:v>
      </x:c>
      <x:c r="B6" s="31" t="str">
        <x:v>CPPP/eProcure</x:v>
      </x:c>
      <x:c r="C6" s="31" t="str">
        <x:v>GOV</x:v>
      </x:c>
      <x:c r="D6" s="31" t="str">
        <x:v>Government procurement</x:v>
      </x:c>
      <x:c r="E6" s="31" t="str">
        <x:v>https://eprocure.gov.in/eprocure/app</x:v>
      </x:c>
      <x:c r="F6" s="31" t="str">
        <x:v>Daily</x:v>
      </x:c>
      <x:c r="G6" s="31" t="str">
        <x:v>Optional</x:v>
      </x:c>
      <x:c r="H6" s="31" t="str">
        <x:v>Working</x:v>
      </x:c>
      <x:c r="I6" s="36" t="n">
        <x:v>46202</x:v>
      </x:c>
      <x:c r="J6" s="31" t="n">
        <x:v>0</x:v>
      </x:c>
      <x:c r="K6" s="40" t="n">
        <x:v>80</x:v>
      </x:c>
      <x:c r="L6" s="31" t="str"/>
      <x:c r="M6" s="31" t="str">
        <x:v>Continue scan</x:v>
      </x:c>
      <x:c r="N6" s="31" t="str">
        <x:v>Radar Agent</x:v>
      </x:c>
      <x:c r="O6" s="31" t="str"/>
    </x:row>
    <x:row r="7">
      <x:c r="A7" s="31" t="str">
        <x:v>SRC-EXP-001</x:v>
      </x:c>
      <x:c r="B7" s="31" t="str">
        <x:v>Indian Trade Portal</x:v>
      </x:c>
      <x:c r="C7" s="31" t="str">
        <x:v>EXP</x:v>
      </x:c>
      <x:c r="D7" s="31" t="str">
        <x:v>Indian export demand/policy</x:v>
      </x:c>
      <x:c r="E7" s="31" t="str">
        <x:v>https://indiantradeportal.in/</x:v>
      </x:c>
      <x:c r="F7" s="31" t="str">
        <x:v>Daily</x:v>
      </x:c>
      <x:c r="G7" s="31" t="str">
        <x:v>No</x:v>
      </x:c>
      <x:c r="H7" s="31" t="str">
        <x:v>Working</x:v>
      </x:c>
      <x:c r="I7" s="36" t="n">
        <x:v>46202</x:v>
      </x:c>
      <x:c r="J7" s="31" t="n">
        <x:v>0</x:v>
      </x:c>
      <x:c r="K7" s="40" t="n">
        <x:v>82</x:v>
      </x:c>
      <x:c r="L7" s="31" t="str"/>
      <x:c r="M7" s="31" t="str">
        <x:v>Continue scan</x:v>
      </x:c>
      <x:c r="N7" s="31" t="str">
        <x:v>Export Demand Radar</x:v>
      </x:c>
      <x:c r="O7" s="31" t="str"/>
    </x:row>
    <x:row r="8">
      <x:c r="A8" s="31" t="str">
        <x:v>SRC-EXP-002</x:v>
      </x:c>
      <x:c r="B8" s="31" t="str">
        <x:v>UNGM</x:v>
      </x:c>
      <x:c r="C8" s="31" t="str">
        <x:v>EXP</x:v>
      </x:c>
      <x:c r="D8" s="31" t="str">
        <x:v>Multilateral procurement</x:v>
      </x:c>
      <x:c r="E8" s="31" t="str">
        <x:v>https://www.ungm.org/Public/Notice</x:v>
      </x:c>
      <x:c r="F8" s="31" t="str">
        <x:v>Daily</x:v>
      </x:c>
      <x:c r="G8" s="31" t="str">
        <x:v>Optional</x:v>
      </x:c>
      <x:c r="H8" s="31" t="str">
        <x:v>Working</x:v>
      </x:c>
      <x:c r="I8" s="36" t="n">
        <x:v>46202</x:v>
      </x:c>
      <x:c r="J8" s="31" t="n">
        <x:v>0</x:v>
      </x:c>
      <x:c r="K8" s="40" t="n">
        <x:v>78</x:v>
      </x:c>
      <x:c r="L8" s="31" t="str"/>
      <x:c r="M8" s="31" t="str">
        <x:v>Continue scan</x:v>
      </x:c>
      <x:c r="N8" s="31" t="str">
        <x:v>Export Demand Radar</x:v>
      </x:c>
      <x:c r="O8" s="31" t="str"/>
    </x:row>
    <x:row r="9">
      <x:c r="A9" s="31" t="str">
        <x:v>SRC-SUP-001</x:v>
      </x:c>
      <x:c r="B9" s="31" t="str">
        <x:v>IndiaMART</x:v>
      </x:c>
      <x:c r="C9" s="31" t="str">
        <x:v>BOTH</x:v>
      </x:c>
      <x:c r="D9" s="31" t="str">
        <x:v>Supplier marketplace</x:v>
      </x:c>
      <x:c r="E9" s="31" t="str">
        <x:v>https://www.indiamart.com/</x:v>
      </x:c>
      <x:c r="F9" s="31" t="str">
        <x:v>On-demand</x:v>
      </x:c>
      <x:c r="G9" s="31" t="str">
        <x:v>Optional</x:v>
      </x:c>
      <x:c r="H9" s="31" t="str">
        <x:v>Manual Check Required</x:v>
      </x:c>
      <x:c r="I9" s="36" t="n">
        <x:v>46202</x:v>
      </x:c>
      <x:c r="J9" s="31" t="n">
        <x:v>0</x:v>
      </x:c>
      <x:c r="K9" s="40" t="n">
        <x:v>70</x:v>
      </x:c>
      <x:c r="L9" s="31" t="str">
        <x:v>May require manual verification</x:v>
      </x:c>
      <x:c r="M9" s="31" t="str">
        <x:v>Use as supplier lead source, not proof</x:v>
      </x:c>
      <x:c r="N9" s="31" t="str">
        <x:v>Supplier Engine</x:v>
      </x:c>
      <x:c r="O9" s="31" t="str"/>
    </x:row>
    <x:row r="10">
      <x:c r="A10" s="31" t="str">
        <x:v>SRC-SUP-002</x:v>
      </x:c>
      <x:c r="B10" s="31" t="str">
        <x:v>Alibaba</x:v>
      </x:c>
      <x:c r="C10" s="31" t="str">
        <x:v>BOTH</x:v>
      </x:c>
      <x:c r="D10" s="31" t="str">
        <x:v>Supplier marketplace</x:v>
      </x:c>
      <x:c r="E10" s="31" t="str">
        <x:v>https://www.alibaba.com/</x:v>
      </x:c>
      <x:c r="F10" s="31" t="str">
        <x:v>On-demand</x:v>
      </x:c>
      <x:c r="G10" s="31" t="str">
        <x:v>Optional</x:v>
      </x:c>
      <x:c r="H10" s="31" t="str">
        <x:v>Working</x:v>
      </x:c>
      <x:c r="I10" s="36" t="n">
        <x:v>46202</x:v>
      </x:c>
      <x:c r="J10" s="31" t="n">
        <x:v>0</x:v>
      </x:c>
      <x:c r="K10" s="40" t="n">
        <x:v>72</x:v>
      </x:c>
      <x:c r="L10" s="31" t="str"/>
      <x:c r="M10" s="31" t="str">
        <x:v>Use with verification</x:v>
      </x:c>
      <x:c r="N10" s="31" t="str">
        <x:v>Supplier Engine</x:v>
      </x:c>
      <x:c r="O10" s="31" t="str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6"/>
      <x:c r="J11" s="31"/>
      <x:c r="K11" s="40"/>
      <x:c r="L11" s="31"/>
      <x:c r="M11" s="31"/>
      <x:c r="N11" s="31"/>
      <x:c r="O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6"/>
      <x:c r="J12" s="31"/>
      <x:c r="K12" s="40"/>
      <x:c r="L12" s="31"/>
      <x:c r="M12" s="31"/>
      <x:c r="N12" s="31"/>
      <x:c r="O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6"/>
      <x:c r="J13" s="31"/>
      <x:c r="K13" s="40"/>
      <x:c r="L13" s="31"/>
      <x:c r="M13" s="31"/>
      <x:c r="N13" s="31"/>
      <x:c r="O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6"/>
      <x:c r="J14" s="31"/>
      <x:c r="K14" s="40"/>
      <x:c r="L14" s="31"/>
      <x:c r="M14" s="31"/>
      <x:c r="N14" s="31"/>
      <x:c r="O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6"/>
      <x:c r="J15" s="31"/>
      <x:c r="K15" s="40"/>
      <x:c r="L15" s="31"/>
      <x:c r="M15" s="31"/>
      <x:c r="N15" s="31"/>
      <x:c r="O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6"/>
      <x:c r="J16" s="31"/>
      <x:c r="K16" s="40"/>
      <x:c r="L16" s="31"/>
      <x:c r="M16" s="31"/>
      <x:c r="N16" s="31"/>
      <x:c r="O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6"/>
      <x:c r="J17" s="31"/>
      <x:c r="K17" s="40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6"/>
      <x:c r="J18" s="31"/>
      <x:c r="K18" s="40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6"/>
      <x:c r="J19" s="31"/>
      <x:c r="K19" s="40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6"/>
      <x:c r="J20" s="31"/>
      <x:c r="K20" s="40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6"/>
      <x:c r="J21" s="31"/>
      <x:c r="K21" s="40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6"/>
      <x:c r="J22" s="31"/>
      <x:c r="K22" s="40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6"/>
      <x:c r="J23" s="31"/>
      <x:c r="K23" s="40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6"/>
      <x:c r="J24" s="31"/>
      <x:c r="K24" s="40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6"/>
      <x:c r="J25" s="31"/>
      <x:c r="K25" s="40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6"/>
      <x:c r="J26" s="31"/>
      <x:c r="K26" s="40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6"/>
      <x:c r="J27" s="31"/>
      <x:c r="K27" s="40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6"/>
      <x:c r="J28" s="31"/>
      <x:c r="K28" s="40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6"/>
      <x:c r="J29" s="31"/>
      <x:c r="K29" s="40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6"/>
      <x:c r="J30" s="31"/>
      <x:c r="K30" s="40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6"/>
      <x:c r="J31" s="31"/>
      <x:c r="K31" s="40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6"/>
      <x:c r="J32" s="31"/>
      <x:c r="K32" s="40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6"/>
      <x:c r="J33" s="31"/>
      <x:c r="K33" s="40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6"/>
      <x:c r="J34" s="31"/>
      <x:c r="K34" s="40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6"/>
      <x:c r="J35" s="31"/>
      <x:c r="K35" s="40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6"/>
      <x:c r="J36" s="31"/>
      <x:c r="K36" s="40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6"/>
      <x:c r="J37" s="31"/>
      <x:c r="K37" s="40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6"/>
      <x:c r="J38" s="31"/>
      <x:c r="K38" s="40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6"/>
      <x:c r="J39" s="31"/>
      <x:c r="K39" s="40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6"/>
      <x:c r="J40" s="31"/>
      <x:c r="K40" s="40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6"/>
      <x:c r="J41" s="31"/>
      <x:c r="K41" s="40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6"/>
      <x:c r="J42" s="31"/>
      <x:c r="K42" s="40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6"/>
      <x:c r="J43" s="31"/>
      <x:c r="K43" s="40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6"/>
      <x:c r="J44" s="31"/>
      <x:c r="K44" s="40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6"/>
      <x:c r="J45" s="31"/>
      <x:c r="K45" s="40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6"/>
      <x:c r="J46" s="31"/>
      <x:c r="K46" s="40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6"/>
      <x:c r="J47" s="31"/>
      <x:c r="K47" s="40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6"/>
      <x:c r="J48" s="31"/>
      <x:c r="K48" s="40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6"/>
      <x:c r="J49" s="31"/>
      <x:c r="K49" s="40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6"/>
      <x:c r="J50" s="31"/>
      <x:c r="K50" s="40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6"/>
      <x:c r="J51" s="31"/>
      <x:c r="K51" s="40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6"/>
      <x:c r="J52" s="31"/>
      <x:c r="K52" s="40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6"/>
      <x:c r="J53" s="31"/>
      <x:c r="K53" s="40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6"/>
      <x:c r="J54" s="31"/>
      <x:c r="K54" s="40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6"/>
      <x:c r="J55" s="31"/>
      <x:c r="K55" s="40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6"/>
      <x:c r="J56" s="31"/>
      <x:c r="K56" s="40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6"/>
      <x:c r="J57" s="31"/>
      <x:c r="K57" s="40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6"/>
      <x:c r="J58" s="31"/>
      <x:c r="K58" s="40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6"/>
      <x:c r="J59" s="31"/>
      <x:c r="K59" s="40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6"/>
      <x:c r="J60" s="31"/>
      <x:c r="K60" s="40"/>
      <x:c r="L60" s="31"/>
      <x:c r="M60" s="31"/>
      <x:c r="N60" s="31"/>
      <x:c r="O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6"/>
      <x:c r="J61" s="31"/>
      <x:c r="K61" s="40"/>
      <x:c r="L61" s="31"/>
      <x:c r="M61" s="31"/>
      <x:c r="N61" s="31"/>
      <x:c r="O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6"/>
      <x:c r="J62" s="31"/>
      <x:c r="K62" s="40"/>
      <x:c r="L62" s="31"/>
      <x:c r="M62" s="31"/>
      <x:c r="N62" s="31"/>
      <x:c r="O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6"/>
      <x:c r="J63" s="31"/>
      <x:c r="K63" s="40"/>
      <x:c r="L63" s="31"/>
      <x:c r="M63" s="31"/>
      <x:c r="N63" s="31"/>
      <x:c r="O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6"/>
      <x:c r="J64" s="31"/>
      <x:c r="K64" s="40"/>
      <x:c r="L64" s="31"/>
      <x:c r="M64" s="31"/>
      <x:c r="N64" s="31"/>
      <x:c r="O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6"/>
      <x:c r="J65" s="31"/>
      <x:c r="K65" s="40"/>
      <x:c r="L65" s="31"/>
      <x:c r="M65" s="31"/>
      <x:c r="N65" s="31"/>
      <x:c r="O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6"/>
      <x:c r="J66" s="31"/>
      <x:c r="K66" s="40"/>
      <x:c r="L66" s="31"/>
      <x:c r="M66" s="31"/>
      <x:c r="N66" s="31"/>
      <x:c r="O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6"/>
      <x:c r="J67" s="31"/>
      <x:c r="K67" s="40"/>
      <x:c r="L67" s="31"/>
      <x:c r="M67" s="31"/>
      <x:c r="N67" s="31"/>
      <x:c r="O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6"/>
      <x:c r="J68" s="31"/>
      <x:c r="K68" s="40"/>
      <x:c r="L68" s="31"/>
      <x:c r="M68" s="31"/>
      <x:c r="N68" s="31"/>
      <x:c r="O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6"/>
      <x:c r="J69" s="31"/>
      <x:c r="K69" s="40"/>
      <x:c r="L69" s="31"/>
      <x:c r="M69" s="31"/>
      <x:c r="N69" s="31"/>
      <x:c r="O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6"/>
      <x:c r="J70" s="31"/>
      <x:c r="K70" s="40"/>
      <x:c r="L70" s="31"/>
      <x:c r="M70" s="31"/>
      <x:c r="N70" s="31"/>
      <x:c r="O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6"/>
      <x:c r="J71" s="31"/>
      <x:c r="K71" s="40"/>
      <x:c r="L71" s="31"/>
      <x:c r="M71" s="31"/>
      <x:c r="N71" s="31"/>
      <x:c r="O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6"/>
      <x:c r="J72" s="31"/>
      <x:c r="K72" s="40"/>
      <x:c r="L72" s="31"/>
      <x:c r="M72" s="31"/>
      <x:c r="N72" s="31"/>
      <x:c r="O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6"/>
      <x:c r="J73" s="31"/>
      <x:c r="K73" s="40"/>
      <x:c r="L73" s="31"/>
      <x:c r="M73" s="31"/>
      <x:c r="N73" s="31"/>
      <x:c r="O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6"/>
      <x:c r="J74" s="31"/>
      <x:c r="K74" s="40"/>
      <x:c r="L74" s="31"/>
      <x:c r="M74" s="31"/>
      <x:c r="N74" s="31"/>
      <x:c r="O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6"/>
      <x:c r="J75" s="31"/>
      <x:c r="K75" s="40"/>
      <x:c r="L75" s="31"/>
      <x:c r="M75" s="31"/>
      <x:c r="N75" s="31"/>
      <x:c r="O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6"/>
      <x:c r="J76" s="31"/>
      <x:c r="K76" s="40"/>
      <x:c r="L76" s="31"/>
      <x:c r="M76" s="31"/>
      <x:c r="N76" s="31"/>
      <x:c r="O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6"/>
      <x:c r="J77" s="31"/>
      <x:c r="K77" s="40"/>
      <x:c r="L77" s="31"/>
      <x:c r="M77" s="31"/>
      <x:c r="N77" s="31"/>
      <x:c r="O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6"/>
      <x:c r="J78" s="31"/>
      <x:c r="K78" s="40"/>
      <x:c r="L78" s="31"/>
      <x:c r="M78" s="31"/>
      <x:c r="N78" s="31"/>
      <x:c r="O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6"/>
      <x:c r="J79" s="31"/>
      <x:c r="K79" s="40"/>
      <x:c r="L79" s="31"/>
      <x:c r="M79" s="31"/>
      <x:c r="N79" s="31"/>
      <x:c r="O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6"/>
      <x:c r="J80" s="31"/>
      <x:c r="K80" s="40"/>
      <x:c r="L80" s="31"/>
      <x:c r="M80" s="31"/>
      <x:c r="N80" s="31"/>
      <x:c r="O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6"/>
      <x:c r="J81" s="31"/>
      <x:c r="K81" s="40"/>
      <x:c r="L81" s="31"/>
      <x:c r="M81" s="31"/>
      <x:c r="N81" s="31"/>
      <x:c r="O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6"/>
      <x:c r="J82" s="31"/>
      <x:c r="K82" s="40"/>
      <x:c r="L82" s="31"/>
      <x:c r="M82" s="31"/>
      <x:c r="N82" s="31"/>
      <x:c r="O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6"/>
      <x:c r="J83" s="31"/>
      <x:c r="K83" s="40"/>
      <x:c r="L83" s="31"/>
      <x:c r="M83" s="31"/>
      <x:c r="N83" s="31"/>
      <x:c r="O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6"/>
      <x:c r="J84" s="31"/>
      <x:c r="K84" s="40"/>
      <x:c r="L84" s="31"/>
      <x:c r="M84" s="31"/>
      <x:c r="N84" s="31"/>
      <x:c r="O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6"/>
      <x:c r="J85" s="31"/>
      <x:c r="K85" s="40"/>
      <x:c r="L85" s="31"/>
      <x:c r="M85" s="31"/>
      <x:c r="N85" s="31"/>
      <x:c r="O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6"/>
      <x:c r="J86" s="31"/>
      <x:c r="K86" s="40"/>
      <x:c r="L86" s="31"/>
      <x:c r="M86" s="31"/>
      <x:c r="N86" s="31"/>
      <x:c r="O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6"/>
      <x:c r="J87" s="31"/>
      <x:c r="K87" s="40"/>
      <x:c r="L87" s="31"/>
      <x:c r="M87" s="31"/>
      <x:c r="N87" s="31"/>
      <x:c r="O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6"/>
      <x:c r="J88" s="31"/>
      <x:c r="K88" s="40"/>
      <x:c r="L88" s="31"/>
      <x:c r="M88" s="31"/>
      <x:c r="N88" s="31"/>
      <x:c r="O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6"/>
      <x:c r="J89" s="31"/>
      <x:c r="K89" s="40"/>
      <x:c r="L89" s="31"/>
      <x:c r="M89" s="31"/>
      <x:c r="N89" s="31"/>
      <x:c r="O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6"/>
      <x:c r="J90" s="31"/>
      <x:c r="K90" s="40"/>
      <x:c r="L90" s="31"/>
      <x:c r="M90" s="31"/>
      <x:c r="N90" s="31"/>
      <x:c r="O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6"/>
      <x:c r="J91" s="31"/>
      <x:c r="K91" s="40"/>
      <x:c r="L91" s="31"/>
      <x:c r="M91" s="31"/>
      <x:c r="N91" s="31"/>
      <x:c r="O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6"/>
      <x:c r="J92" s="31"/>
      <x:c r="K92" s="40"/>
      <x:c r="L92" s="31"/>
      <x:c r="M92" s="31"/>
      <x:c r="N92" s="31"/>
      <x:c r="O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6"/>
      <x:c r="J93" s="31"/>
      <x:c r="K93" s="40"/>
      <x:c r="L93" s="31"/>
      <x:c r="M93" s="31"/>
      <x:c r="N93" s="31"/>
      <x:c r="O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6"/>
      <x:c r="J94" s="31"/>
      <x:c r="K94" s="40"/>
      <x:c r="L94" s="31"/>
      <x:c r="M94" s="31"/>
      <x:c r="N94" s="31"/>
      <x:c r="O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6"/>
      <x:c r="J95" s="31"/>
      <x:c r="K95" s="40"/>
      <x:c r="L95" s="31"/>
      <x:c r="M95" s="31"/>
      <x:c r="N95" s="31"/>
      <x:c r="O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6"/>
      <x:c r="J96" s="31"/>
      <x:c r="K96" s="40"/>
      <x:c r="L96" s="31"/>
      <x:c r="M96" s="31"/>
      <x:c r="N96" s="31"/>
      <x:c r="O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6"/>
      <x:c r="J97" s="31"/>
      <x:c r="K97" s="40"/>
      <x:c r="L97" s="31"/>
      <x:c r="M97" s="31"/>
      <x:c r="N97" s="31"/>
      <x:c r="O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6"/>
      <x:c r="J98" s="31"/>
      <x:c r="K98" s="40"/>
      <x:c r="L98" s="31"/>
      <x:c r="M98" s="31"/>
      <x:c r="N98" s="31"/>
      <x:c r="O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6"/>
      <x:c r="J99" s="31"/>
      <x:c r="K99" s="40"/>
      <x:c r="L99" s="31"/>
      <x:c r="M99" s="31"/>
      <x:c r="N99" s="31"/>
      <x:c r="O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6"/>
      <x:c r="J100" s="31"/>
      <x:c r="K100" s="40"/>
      <x:c r="L100" s="31"/>
      <x:c r="M100" s="31"/>
      <x:c r="N100" s="31"/>
      <x:c r="O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6"/>
      <x:c r="J101" s="31"/>
      <x:c r="K101" s="40"/>
      <x:c r="L101" s="31"/>
      <x:c r="M101" s="31"/>
      <x:c r="N101" s="31"/>
      <x:c r="O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6"/>
      <x:c r="J102" s="31"/>
      <x:c r="K102" s="40"/>
      <x:c r="L102" s="31"/>
      <x:c r="M102" s="31"/>
      <x:c r="N102" s="31"/>
      <x:c r="O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6"/>
      <x:c r="J103" s="31"/>
      <x:c r="K103" s="40"/>
      <x:c r="L103" s="31"/>
      <x:c r="M103" s="31"/>
      <x:c r="N103" s="31"/>
      <x:c r="O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6"/>
      <x:c r="J104" s="31"/>
      <x:c r="K104" s="40"/>
      <x:c r="L104" s="31"/>
      <x:c r="M104" s="31"/>
      <x:c r="N104" s="31"/>
      <x:c r="O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6"/>
      <x:c r="J105" s="31"/>
      <x:c r="K105" s="40"/>
      <x:c r="L105" s="31"/>
      <x:c r="M105" s="31"/>
      <x:c r="N105" s="31"/>
      <x:c r="O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6"/>
      <x:c r="J106" s="31"/>
      <x:c r="K106" s="40"/>
      <x:c r="L106" s="31"/>
      <x:c r="M106" s="31"/>
      <x:c r="N106" s="31"/>
      <x:c r="O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6"/>
      <x:c r="J107" s="31"/>
      <x:c r="K107" s="40"/>
      <x:c r="L107" s="31"/>
      <x:c r="M107" s="31"/>
      <x:c r="N107" s="31"/>
      <x:c r="O107" s="31"/>
    </x:row>
    <x:row r="108">
      <x:c r="A108" s="31" t="str"/>
      <x:c r="B108" s="31" t="str"/>
      <x:c r="C108" s="31" t="str"/>
      <x:c r="D108" s="31" t="str"/>
      <x:c r="E108" s="31" t="str"/>
      <x:c r="F108" s="31" t="str"/>
      <x:c r="G108" s="31" t="str"/>
      <x:c r="H108" s="31" t="str"/>
      <x:c r="I108" s="31" t="str"/>
      <x:c r="J108" s="31" t="str"/>
      <x:c r="K108" s="31" t="str"/>
      <x:c r="L108" s="31" t="str"/>
      <x:c r="M108" s="31" t="str"/>
      <x:c r="N108" s="31" t="str"/>
      <x:c r="O108" s="31" t="str"/>
    </x:row>
    <x:row r="109">
      <x:c r="A109" s="31" t="str"/>
      <x:c r="B109" s="31" t="str"/>
      <x:c r="C109" s="31" t="str"/>
      <x:c r="D109" s="31" t="str"/>
      <x:c r="E109" s="31" t="str"/>
      <x:c r="F109" s="31" t="str"/>
      <x:c r="G109" s="31" t="str"/>
      <x:c r="H109" s="31" t="str"/>
      <x:c r="I109" s="31" t="str"/>
      <x:c r="J109" s="31" t="str"/>
      <x:c r="K109" s="31" t="str"/>
      <x:c r="L109" s="31" t="str"/>
      <x:c r="M109" s="31" t="str"/>
      <x:c r="N109" s="31" t="str"/>
      <x:c r="O109" s="31" t="str"/>
    </x:row>
    <x:row r="110">
      <x:c r="A110" s="31" t="str"/>
      <x:c r="B110" s="31" t="str"/>
      <x:c r="C110" s="31" t="str"/>
      <x:c r="D110" s="31" t="str"/>
      <x:c r="E110" s="31" t="str"/>
      <x:c r="F110" s="31" t="str"/>
      <x:c r="G110" s="31" t="str"/>
      <x:c r="H110" s="31" t="str"/>
      <x:c r="I110" s="31" t="str"/>
      <x:c r="J110" s="31" t="str"/>
      <x:c r="K110" s="31" t="str"/>
      <x:c r="L110" s="31" t="str"/>
      <x:c r="M110" s="31" t="str"/>
      <x:c r="N110" s="31" t="str"/>
      <x:c r="O110" s="31" t="str"/>
    </x:row>
  </x:sheetData>
  <x:mergeCells>
    <x:mergeCell ref="A1:N1"/>
    <x:mergeCell ref="A2:N2"/>
  </x:mergeCells>
  <x:conditionalFormatting sqref="K5:K10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3">
    <x:dataValidation type="list" sqref="C5:C107">
      <x:formula1>"GOV,EXP,BOTH"</x:formula1>
    </x:dataValidation>
    <x:dataValidation type="list" sqref="F5:F107">
      <x:formula1>"Daily,Weekly,On-demand,Paused"</x:formula1>
    </x:dataValidation>
    <x:dataValidation type="list" sqref="H5:H107">
      <x:formula1>"Working,Needs Login,Paywalled,Low Relevance,Broken,Manual Check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9ccaff12dd4d4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5.37999725341797" hidden="0" customWidth="1"/>
    <x:col min="2" max="2" width="15.25" hidden="0" customWidth="1"/>
    <x:col min="3" max="3" width="17.75" hidden="0" customWidth="1"/>
    <x:col min="4" max="4" width="28" hidden="0" customWidth="1"/>
    <x:col min="5" max="5" width="9.25" hidden="0" customWidth="1"/>
    <x:col min="6" max="6" width="18.1299991607666" hidden="0" customWidth="1"/>
    <x:col min="7" max="7" width="19" hidden="0" customWidth="1"/>
    <x:col min="8" max="8" width="15.75" hidden="0" customWidth="1"/>
    <x:col min="9" max="9" width="12.13000011444091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70" t="str">
        <x:v>FOLLOW-UP CRM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5" t="str">
        <x:v>Track supplier, buyer, owner and portal follow-ups. No case should disappear after prep.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4">
      <x:c r="A4" s="34" t="str">
        <x:v>Followup_ID</x:v>
      </x:c>
      <x:c r="B4" s="34" t="str">
        <x:v>Case_ID</x:v>
      </x:c>
      <x:c r="C4" s="34" t="str">
        <x:v>Counterparty_Type</x:v>
      </x:c>
      <x:c r="D4" s="34" t="str">
        <x:v>Counterparty_Name</x:v>
      </x:c>
      <x:c r="E4" s="34" t="str">
        <x:v>Channel</x:v>
      </x:c>
      <x:c r="F4" s="34" t="str">
        <x:v>Last_Message_Date</x:v>
      </x:c>
      <x:c r="G4" s="34" t="str">
        <x:v>Next_Followup_Date</x:v>
      </x:c>
      <x:c r="H4" s="34" t="str">
        <x:v>Followup_Status</x:v>
      </x:c>
      <x:c r="I4" s="34" t="str">
        <x:v>Owner</x:v>
      </x:c>
      <x:c r="J4" s="34" t="str">
        <x:v>Message_Template</x:v>
      </x:c>
      <x:c r="K4" s="34" t="str">
        <x:v>Outcome</x:v>
      </x:c>
      <x:c r="L4" s="34" t="str">
        <x:v>Notes</x:v>
      </x:c>
    </x:row>
    <x:row r="5">
      <x:c r="A5" s="31" t="str">
        <x:v>FU-20260630-001</x:v>
      </x:c>
      <x:c r="B5" s="31" t="str">
        <x:v>EXP-20260630-001</x:v>
      </x:c>
      <x:c r="C5" s="31" t="str">
        <x:v>Supplier</x:v>
      </x:c>
      <x:c r="D5" s="31" t="str">
        <x:v>Example Textile Works</x:v>
      </x:c>
      <x:c r="E5" s="31" t="str">
        <x:v>WhatsApp</x:v>
      </x:c>
      <x:c r="F5" s="36" t="str">
        <x:v>2026-06-30</x:v>
      </x:c>
      <x:c r="G5" s="36" t="str">
        <x:v>2026-07-01</x:v>
      </x:c>
      <x:c r="H5" s="31" t="str">
        <x:v>Due</x:v>
      </x:c>
      <x:c r="I5" s="31" t="str">
        <x:v>Supplier Engine</x:v>
      </x:c>
      <x:c r="J5" s="31" t="str">
        <x:v>supplier_quote_request.txt</x:v>
      </x:c>
      <x:c r="K5" s="31" t="str"/>
      <x:c r="L5" s="31" t="str">
        <x:v>Sample</x:v>
      </x:c>
    </x:row>
    <x:row r="6">
      <x:c r="A6" s="31" t="str">
        <x:v>FU-20260630-002</x:v>
      </x:c>
      <x:c r="B6" s="31" t="str">
        <x:v>GOV-20260630-001</x:v>
      </x:c>
      <x:c r="C6" s="31" t="str">
        <x:v>Owner</x:v>
      </x:c>
      <x:c r="D6" s="31" t="str">
        <x:v>Raghav/Hermes</x:v>
      </x:c>
      <x:c r="E6" s="31" t="str">
        <x:v>Hermes</x:v>
      </x:c>
      <x:c r="F6" s="36" t="str">
        <x:v>2026-06-30</x:v>
      </x:c>
      <x:c r="G6" s="36" t="str">
        <x:v>2026-07-01</x:v>
      </x:c>
      <x:c r="H6" s="31" t="str">
        <x:v>Pending Approval</x:v>
      </x:c>
      <x:c r="I6" s="31" t="str">
        <x:v>Approval Desk</x:v>
      </x:c>
      <x:c r="J6" s="31" t="str">
        <x:v>approval_card.html</x:v>
      </x:c>
      <x:c r="K6" s="31" t="str"/>
      <x:c r="L6" s="31" t="str">
        <x:v>Sample</x:v>
      </x:c>
    </x:row>
    <x:row r="7">
      <x:c r="A7" s="31"/>
      <x:c r="B7" s="31"/>
      <x:c r="C7" s="31"/>
      <x:c r="D7" s="31"/>
      <x:c r="E7" s="31"/>
      <x:c r="F7" s="36"/>
      <x:c r="G7" s="36"/>
      <x:c r="H7" s="31"/>
      <x:c r="I7" s="31"/>
      <x:c r="J7" s="31"/>
      <x:c r="K7" s="31"/>
      <x:c r="L7" s="31"/>
    </x:row>
    <x:row r="8">
      <x:c r="A8" s="31"/>
      <x:c r="B8" s="31"/>
      <x:c r="C8" s="31"/>
      <x:c r="D8" s="31"/>
      <x:c r="E8" s="31"/>
      <x:c r="F8" s="36"/>
      <x:c r="G8" s="36"/>
      <x:c r="H8" s="31"/>
      <x:c r="I8" s="31"/>
      <x:c r="J8" s="31"/>
      <x:c r="K8" s="31"/>
      <x:c r="L8" s="31"/>
    </x:row>
    <x:row r="9">
      <x:c r="A9" s="31"/>
      <x:c r="B9" s="31"/>
      <x:c r="C9" s="31"/>
      <x:c r="D9" s="31"/>
      <x:c r="E9" s="31"/>
      <x:c r="F9" s="36"/>
      <x:c r="G9" s="36"/>
      <x:c r="H9" s="31"/>
      <x:c r="I9" s="31"/>
      <x:c r="J9" s="31"/>
      <x:c r="K9" s="31"/>
      <x:c r="L9" s="31"/>
    </x:row>
    <x:row r="10">
      <x:c r="A10" s="31"/>
      <x:c r="B10" s="31"/>
      <x:c r="C10" s="31"/>
      <x:c r="D10" s="31"/>
      <x:c r="E10" s="31"/>
      <x:c r="F10" s="36"/>
      <x:c r="G10" s="36"/>
      <x:c r="H10" s="31"/>
      <x:c r="I10" s="31"/>
      <x:c r="J10" s="31"/>
      <x:c r="K10" s="31"/>
      <x:c r="L10" s="31"/>
    </x:row>
    <x:row r="11">
      <x:c r="A11" s="31"/>
      <x:c r="B11" s="31"/>
      <x:c r="C11" s="31"/>
      <x:c r="D11" s="31"/>
      <x:c r="E11" s="31"/>
      <x:c r="F11" s="36"/>
      <x:c r="G11" s="36"/>
      <x:c r="H11" s="31"/>
      <x:c r="I11" s="31"/>
      <x:c r="J11" s="31"/>
      <x:c r="K11" s="31"/>
      <x:c r="L11" s="31"/>
    </x:row>
    <x:row r="12">
      <x:c r="A12" s="31"/>
      <x:c r="B12" s="31"/>
      <x:c r="C12" s="31"/>
      <x:c r="D12" s="31"/>
      <x:c r="E12" s="31"/>
      <x:c r="F12" s="36"/>
      <x:c r="G12" s="36"/>
      <x:c r="H12" s="31"/>
      <x:c r="I12" s="31"/>
      <x:c r="J12" s="31"/>
      <x:c r="K12" s="31"/>
      <x:c r="L12" s="31"/>
    </x:row>
    <x:row r="13">
      <x:c r="A13" s="31"/>
      <x:c r="B13" s="31"/>
      <x:c r="C13" s="31"/>
      <x:c r="D13" s="31"/>
      <x:c r="E13" s="31"/>
      <x:c r="F13" s="36"/>
      <x:c r="G13" s="36"/>
      <x:c r="H13" s="31"/>
      <x:c r="I13" s="31"/>
      <x:c r="J13" s="31"/>
      <x:c r="K13" s="31"/>
      <x:c r="L13" s="31"/>
    </x:row>
    <x:row r="14">
      <x:c r="A14" s="31"/>
      <x:c r="B14" s="31"/>
      <x:c r="C14" s="31"/>
      <x:c r="D14" s="31"/>
      <x:c r="E14" s="31"/>
      <x:c r="F14" s="36"/>
      <x:c r="G14" s="36"/>
      <x:c r="H14" s="31"/>
      <x:c r="I14" s="31"/>
      <x:c r="J14" s="31"/>
      <x:c r="K14" s="31"/>
      <x:c r="L14" s="31"/>
    </x:row>
    <x:row r="15">
      <x:c r="A15" s="31"/>
      <x:c r="B15" s="31"/>
      <x:c r="C15" s="31"/>
      <x:c r="D15" s="31"/>
      <x:c r="E15" s="31"/>
      <x:c r="F15" s="36"/>
      <x:c r="G15" s="36"/>
      <x:c r="H15" s="31"/>
      <x:c r="I15" s="31"/>
      <x:c r="J15" s="31"/>
      <x:c r="K15" s="31"/>
      <x:c r="L15" s="31"/>
    </x:row>
    <x:row r="16">
      <x:c r="A16" s="31"/>
      <x:c r="B16" s="31"/>
      <x:c r="C16" s="31"/>
      <x:c r="D16" s="31"/>
      <x:c r="E16" s="31"/>
      <x:c r="F16" s="36"/>
      <x:c r="G16" s="36"/>
      <x:c r="H16" s="31"/>
      <x:c r="I16" s="31"/>
      <x:c r="J16" s="31"/>
      <x:c r="K16" s="31"/>
      <x:c r="L16" s="31"/>
    </x:row>
    <x:row r="17">
      <x:c r="A17" s="31"/>
      <x:c r="B17" s="31"/>
      <x:c r="C17" s="31"/>
      <x:c r="D17" s="31"/>
      <x:c r="E17" s="31"/>
      <x:c r="F17" s="36"/>
      <x:c r="G17" s="36"/>
      <x:c r="H17" s="31"/>
      <x:c r="I17" s="31"/>
      <x:c r="J17" s="31"/>
      <x:c r="K17" s="31"/>
      <x:c r="L17" s="31"/>
    </x:row>
    <x:row r="18">
      <x:c r="A18" s="31"/>
      <x:c r="B18" s="31"/>
      <x:c r="C18" s="31"/>
      <x:c r="D18" s="31"/>
      <x:c r="E18" s="31"/>
      <x:c r="F18" s="36"/>
      <x:c r="G18" s="36"/>
      <x:c r="H18" s="31"/>
      <x:c r="I18" s="31"/>
      <x:c r="J18" s="31"/>
      <x:c r="K18" s="31"/>
      <x:c r="L18" s="31"/>
    </x:row>
    <x:row r="19">
      <x:c r="A19" s="31"/>
      <x:c r="B19" s="31"/>
      <x:c r="C19" s="31"/>
      <x:c r="D19" s="31"/>
      <x:c r="E19" s="31"/>
      <x:c r="F19" s="36"/>
      <x:c r="G19" s="36"/>
      <x:c r="H19" s="31"/>
      <x:c r="I19" s="31"/>
      <x:c r="J19" s="31"/>
      <x:c r="K19" s="31"/>
      <x:c r="L19" s="31"/>
    </x:row>
    <x:row r="20">
      <x:c r="A20" s="31"/>
      <x:c r="B20" s="31"/>
      <x:c r="C20" s="31"/>
      <x:c r="D20" s="31"/>
      <x:c r="E20" s="31"/>
      <x:c r="F20" s="36"/>
      <x:c r="G20" s="36"/>
      <x:c r="H20" s="31"/>
      <x:c r="I20" s="31"/>
      <x:c r="J20" s="31"/>
      <x:c r="K20" s="31"/>
      <x:c r="L20" s="31"/>
    </x:row>
    <x:row r="21">
      <x:c r="A21" s="31"/>
      <x:c r="B21" s="31"/>
      <x:c r="C21" s="31"/>
      <x:c r="D21" s="31"/>
      <x:c r="E21" s="31"/>
      <x:c r="F21" s="36"/>
      <x:c r="G21" s="36"/>
      <x:c r="H21" s="31"/>
      <x:c r="I21" s="31"/>
      <x:c r="J21" s="31"/>
      <x:c r="K21" s="31"/>
      <x:c r="L21" s="31"/>
    </x:row>
    <x:row r="22">
      <x:c r="A22" s="31"/>
      <x:c r="B22" s="31"/>
      <x:c r="C22" s="31"/>
      <x:c r="D22" s="31"/>
      <x:c r="E22" s="31"/>
      <x:c r="F22" s="36"/>
      <x:c r="G22" s="36"/>
      <x:c r="H22" s="31"/>
      <x:c r="I22" s="31"/>
      <x:c r="J22" s="31"/>
      <x:c r="K22" s="31"/>
      <x:c r="L22" s="31"/>
    </x:row>
    <x:row r="23">
      <x:c r="A23" s="31"/>
      <x:c r="B23" s="31"/>
      <x:c r="C23" s="31"/>
      <x:c r="D23" s="31"/>
      <x:c r="E23" s="31"/>
      <x:c r="F23" s="36"/>
      <x:c r="G23" s="36"/>
      <x:c r="H23" s="31"/>
      <x:c r="I23" s="31"/>
      <x:c r="J23" s="31"/>
      <x:c r="K23" s="31"/>
      <x:c r="L23" s="31"/>
    </x:row>
    <x:row r="24">
      <x:c r="A24" s="31"/>
      <x:c r="B24" s="31"/>
      <x:c r="C24" s="31"/>
      <x:c r="D24" s="31"/>
      <x:c r="E24" s="31"/>
      <x:c r="F24" s="36"/>
      <x:c r="G24" s="36"/>
      <x:c r="H24" s="31"/>
      <x:c r="I24" s="31"/>
      <x:c r="J24" s="31"/>
      <x:c r="K24" s="31"/>
      <x:c r="L24" s="31"/>
    </x:row>
    <x:row r="25">
      <x:c r="A25" s="31"/>
      <x:c r="B25" s="31"/>
      <x:c r="C25" s="31"/>
      <x:c r="D25" s="31"/>
      <x:c r="E25" s="31"/>
      <x:c r="F25" s="36"/>
      <x:c r="G25" s="36"/>
      <x:c r="H25" s="31"/>
      <x:c r="I25" s="31"/>
      <x:c r="J25" s="31"/>
      <x:c r="K25" s="31"/>
      <x:c r="L25" s="31"/>
    </x:row>
    <x:row r="26">
      <x:c r="A26" s="31"/>
      <x:c r="B26" s="31"/>
      <x:c r="C26" s="31"/>
      <x:c r="D26" s="31"/>
      <x:c r="E26" s="31"/>
      <x:c r="F26" s="36"/>
      <x:c r="G26" s="36"/>
      <x:c r="H26" s="31"/>
      <x:c r="I26" s="31"/>
      <x:c r="J26" s="31"/>
      <x:c r="K26" s="31"/>
      <x:c r="L26" s="31"/>
    </x:row>
    <x:row r="27">
      <x:c r="A27" s="31"/>
      <x:c r="B27" s="31"/>
      <x:c r="C27" s="31"/>
      <x:c r="D27" s="31"/>
      <x:c r="E27" s="31"/>
      <x:c r="F27" s="36"/>
      <x:c r="G27" s="36"/>
      <x:c r="H27" s="31"/>
      <x:c r="I27" s="31"/>
      <x:c r="J27" s="31"/>
      <x:c r="K27" s="31"/>
      <x:c r="L27" s="31"/>
    </x:row>
    <x:row r="28">
      <x:c r="A28" s="31"/>
      <x:c r="B28" s="31"/>
      <x:c r="C28" s="31"/>
      <x:c r="D28" s="31"/>
      <x:c r="E28" s="31"/>
      <x:c r="F28" s="36"/>
      <x:c r="G28" s="36"/>
      <x:c r="H28" s="31"/>
      <x:c r="I28" s="31"/>
      <x:c r="J28" s="31"/>
      <x:c r="K28" s="31"/>
      <x:c r="L28" s="31"/>
    </x:row>
    <x:row r="29">
      <x:c r="A29" s="31"/>
      <x:c r="B29" s="31"/>
      <x:c r="C29" s="31"/>
      <x:c r="D29" s="31"/>
      <x:c r="E29" s="31"/>
      <x:c r="F29" s="36"/>
      <x:c r="G29" s="36"/>
      <x:c r="H29" s="31"/>
      <x:c r="I29" s="31"/>
      <x:c r="J29" s="31"/>
      <x:c r="K29" s="31"/>
      <x:c r="L29" s="31"/>
    </x:row>
    <x:row r="30">
      <x:c r="A30" s="31"/>
      <x:c r="B30" s="31"/>
      <x:c r="C30" s="31"/>
      <x:c r="D30" s="31"/>
      <x:c r="E30" s="31"/>
      <x:c r="F30" s="36"/>
      <x:c r="G30" s="36"/>
      <x:c r="H30" s="31"/>
      <x:c r="I30" s="31"/>
      <x:c r="J30" s="31"/>
      <x:c r="K30" s="31"/>
      <x:c r="L30" s="31"/>
    </x:row>
    <x:row r="31">
      <x:c r="A31" s="31"/>
      <x:c r="B31" s="31"/>
      <x:c r="C31" s="31"/>
      <x:c r="D31" s="31"/>
      <x:c r="E31" s="31"/>
      <x:c r="F31" s="36"/>
      <x:c r="G31" s="36"/>
      <x:c r="H31" s="31"/>
      <x:c r="I31" s="31"/>
      <x:c r="J31" s="31"/>
      <x:c r="K31" s="31"/>
      <x:c r="L31" s="31"/>
    </x:row>
    <x:row r="32">
      <x:c r="A32" s="31"/>
      <x:c r="B32" s="31"/>
      <x:c r="C32" s="31"/>
      <x:c r="D32" s="31"/>
      <x:c r="E32" s="31"/>
      <x:c r="F32" s="36"/>
      <x:c r="G32" s="36"/>
      <x:c r="H32" s="31"/>
      <x:c r="I32" s="31"/>
      <x:c r="J32" s="31"/>
      <x:c r="K32" s="31"/>
      <x:c r="L32" s="31"/>
    </x:row>
    <x:row r="33">
      <x:c r="A33" s="31"/>
      <x:c r="B33" s="31"/>
      <x:c r="C33" s="31"/>
      <x:c r="D33" s="31"/>
      <x:c r="E33" s="31"/>
      <x:c r="F33" s="36"/>
      <x:c r="G33" s="36"/>
      <x:c r="H33" s="31"/>
      <x:c r="I33" s="31"/>
      <x:c r="J33" s="31"/>
      <x:c r="K33" s="31"/>
      <x:c r="L33" s="31"/>
    </x:row>
    <x:row r="34">
      <x:c r="A34" s="31"/>
      <x:c r="B34" s="31"/>
      <x:c r="C34" s="31"/>
      <x:c r="D34" s="31"/>
      <x:c r="E34" s="31"/>
      <x:c r="F34" s="36"/>
      <x:c r="G34" s="36"/>
      <x:c r="H34" s="31"/>
      <x:c r="I34" s="31"/>
      <x:c r="J34" s="31"/>
      <x:c r="K34" s="31"/>
      <x:c r="L34" s="31"/>
    </x:row>
    <x:row r="35">
      <x:c r="A35" s="31"/>
      <x:c r="B35" s="31"/>
      <x:c r="C35" s="31"/>
      <x:c r="D35" s="31"/>
      <x:c r="E35" s="31"/>
      <x:c r="F35" s="36"/>
      <x:c r="G35" s="36"/>
      <x:c r="H35" s="31"/>
      <x:c r="I35" s="31"/>
      <x:c r="J35" s="31"/>
      <x:c r="K35" s="31"/>
      <x:c r="L35" s="31"/>
    </x:row>
    <x:row r="36">
      <x:c r="A36" s="31"/>
      <x:c r="B36" s="31"/>
      <x:c r="C36" s="31"/>
      <x:c r="D36" s="31"/>
      <x:c r="E36" s="31"/>
      <x:c r="F36" s="36"/>
      <x:c r="G36" s="36"/>
      <x:c r="H36" s="31"/>
      <x:c r="I36" s="31"/>
      <x:c r="J36" s="31"/>
      <x:c r="K36" s="31"/>
      <x:c r="L36" s="31"/>
    </x:row>
    <x:row r="37">
      <x:c r="A37" s="31"/>
      <x:c r="B37" s="31"/>
      <x:c r="C37" s="31"/>
      <x:c r="D37" s="31"/>
      <x:c r="E37" s="31"/>
      <x:c r="F37" s="36"/>
      <x:c r="G37" s="36"/>
      <x:c r="H37" s="31"/>
      <x:c r="I37" s="31"/>
      <x:c r="J37" s="31"/>
      <x:c r="K37" s="31"/>
      <x:c r="L37" s="31"/>
    </x:row>
    <x:row r="38">
      <x:c r="A38" s="31"/>
      <x:c r="B38" s="31"/>
      <x:c r="C38" s="31"/>
      <x:c r="D38" s="31"/>
      <x:c r="E38" s="31"/>
      <x:c r="F38" s="36"/>
      <x:c r="G38" s="36"/>
      <x:c r="H38" s="31"/>
      <x:c r="I38" s="31"/>
      <x:c r="J38" s="31"/>
      <x:c r="K38" s="31"/>
      <x:c r="L38" s="31"/>
    </x:row>
    <x:row r="39">
      <x:c r="A39" s="31"/>
      <x:c r="B39" s="31"/>
      <x:c r="C39" s="31"/>
      <x:c r="D39" s="31"/>
      <x:c r="E39" s="31"/>
      <x:c r="F39" s="36"/>
      <x:c r="G39" s="36"/>
      <x:c r="H39" s="31"/>
      <x:c r="I39" s="31"/>
      <x:c r="J39" s="31"/>
      <x:c r="K39" s="31"/>
      <x:c r="L39" s="31"/>
    </x:row>
    <x:row r="40">
      <x:c r="A40" s="31"/>
      <x:c r="B40" s="31"/>
      <x:c r="C40" s="31"/>
      <x:c r="D40" s="31"/>
      <x:c r="E40" s="31"/>
      <x:c r="F40" s="36"/>
      <x:c r="G40" s="36"/>
      <x:c r="H40" s="31"/>
      <x:c r="I40" s="31"/>
      <x:c r="J40" s="31"/>
      <x:c r="K40" s="31"/>
      <x:c r="L40" s="31"/>
    </x:row>
    <x:row r="41">
      <x:c r="A41" s="31"/>
      <x:c r="B41" s="31"/>
      <x:c r="C41" s="31"/>
      <x:c r="D41" s="31"/>
      <x:c r="E41" s="31"/>
      <x:c r="F41" s="36"/>
      <x:c r="G41" s="36"/>
      <x:c r="H41" s="31"/>
      <x:c r="I41" s="31"/>
      <x:c r="J41" s="31"/>
      <x:c r="K41" s="31"/>
      <x:c r="L41" s="31"/>
    </x:row>
    <x:row r="42">
      <x:c r="A42" s="31"/>
      <x:c r="B42" s="31"/>
      <x:c r="C42" s="31"/>
      <x:c r="D42" s="31"/>
      <x:c r="E42" s="31"/>
      <x:c r="F42" s="36"/>
      <x:c r="G42" s="36"/>
      <x:c r="H42" s="31"/>
      <x:c r="I42" s="31"/>
      <x:c r="J42" s="31"/>
      <x:c r="K42" s="31"/>
      <x:c r="L42" s="31"/>
    </x:row>
    <x:row r="43">
      <x:c r="A43" s="31"/>
      <x:c r="B43" s="31"/>
      <x:c r="C43" s="31"/>
      <x:c r="D43" s="31"/>
      <x:c r="E43" s="31"/>
      <x:c r="F43" s="36"/>
      <x:c r="G43" s="36"/>
      <x:c r="H43" s="31"/>
      <x:c r="I43" s="31"/>
      <x:c r="J43" s="31"/>
      <x:c r="K43" s="31"/>
      <x:c r="L43" s="31"/>
    </x:row>
    <x:row r="44">
      <x:c r="A44" s="31"/>
      <x:c r="B44" s="31"/>
      <x:c r="C44" s="31"/>
      <x:c r="D44" s="31"/>
      <x:c r="E44" s="31"/>
      <x:c r="F44" s="36"/>
      <x:c r="G44" s="36"/>
      <x:c r="H44" s="31"/>
      <x:c r="I44" s="31"/>
      <x:c r="J44" s="31"/>
      <x:c r="K44" s="31"/>
      <x:c r="L44" s="31"/>
    </x:row>
    <x:row r="45">
      <x:c r="A45" s="31"/>
      <x:c r="B45" s="31"/>
      <x:c r="C45" s="31"/>
      <x:c r="D45" s="31"/>
      <x:c r="E45" s="31"/>
      <x:c r="F45" s="36"/>
      <x:c r="G45" s="36"/>
      <x:c r="H45" s="31"/>
      <x:c r="I45" s="31"/>
      <x:c r="J45" s="31"/>
      <x:c r="K45" s="31"/>
      <x:c r="L45" s="31"/>
    </x:row>
    <x:row r="46">
      <x:c r="A46" s="31"/>
      <x:c r="B46" s="31"/>
      <x:c r="C46" s="31"/>
      <x:c r="D46" s="31"/>
      <x:c r="E46" s="31"/>
      <x:c r="F46" s="36"/>
      <x:c r="G46" s="36"/>
      <x:c r="H46" s="31"/>
      <x:c r="I46" s="31"/>
      <x:c r="J46" s="31"/>
      <x:c r="K46" s="31"/>
      <x:c r="L46" s="31"/>
    </x:row>
    <x:row r="47">
      <x:c r="A47" s="31"/>
      <x:c r="B47" s="31"/>
      <x:c r="C47" s="31"/>
      <x:c r="D47" s="31"/>
      <x:c r="E47" s="31"/>
      <x:c r="F47" s="36"/>
      <x:c r="G47" s="36"/>
      <x:c r="H47" s="31"/>
      <x:c r="I47" s="31"/>
      <x:c r="J47" s="31"/>
      <x:c r="K47" s="31"/>
      <x:c r="L47" s="31"/>
    </x:row>
    <x:row r="48">
      <x:c r="A48" s="31"/>
      <x:c r="B48" s="31"/>
      <x:c r="C48" s="31"/>
      <x:c r="D48" s="31"/>
      <x:c r="E48" s="31"/>
      <x:c r="F48" s="36"/>
      <x:c r="G48" s="36"/>
      <x:c r="H48" s="31"/>
      <x:c r="I48" s="31"/>
      <x:c r="J48" s="31"/>
      <x:c r="K48" s="31"/>
      <x:c r="L48" s="31"/>
    </x:row>
    <x:row r="49">
      <x:c r="A49" s="31"/>
      <x:c r="B49" s="31"/>
      <x:c r="C49" s="31"/>
      <x:c r="D49" s="31"/>
      <x:c r="E49" s="31"/>
      <x:c r="F49" s="36"/>
      <x:c r="G49" s="36"/>
      <x:c r="H49" s="31"/>
      <x:c r="I49" s="31"/>
      <x:c r="J49" s="31"/>
      <x:c r="K49" s="31"/>
      <x:c r="L49" s="31"/>
    </x:row>
    <x:row r="50">
      <x:c r="A50" s="31"/>
      <x:c r="B50" s="31"/>
      <x:c r="C50" s="31"/>
      <x:c r="D50" s="31"/>
      <x:c r="E50" s="31"/>
      <x:c r="F50" s="36"/>
      <x:c r="G50" s="36"/>
      <x:c r="H50" s="31"/>
      <x:c r="I50" s="31"/>
      <x:c r="J50" s="31"/>
      <x:c r="K50" s="31"/>
      <x:c r="L50" s="31"/>
    </x:row>
    <x:row r="51">
      <x:c r="A51" s="31"/>
      <x:c r="B51" s="31"/>
      <x:c r="C51" s="31"/>
      <x:c r="D51" s="31"/>
      <x:c r="E51" s="31"/>
      <x:c r="F51" s="36"/>
      <x:c r="G51" s="36"/>
      <x:c r="H51" s="31"/>
      <x:c r="I51" s="31"/>
      <x:c r="J51" s="31"/>
      <x:c r="K51" s="31"/>
      <x:c r="L51" s="31"/>
    </x:row>
    <x:row r="52">
      <x:c r="A52" s="31"/>
      <x:c r="B52" s="31"/>
      <x:c r="C52" s="31"/>
      <x:c r="D52" s="31"/>
      <x:c r="E52" s="31"/>
      <x:c r="F52" s="36"/>
      <x:c r="G52" s="36"/>
      <x:c r="H52" s="31"/>
      <x:c r="I52" s="31"/>
      <x:c r="J52" s="31"/>
      <x:c r="K52" s="31"/>
      <x:c r="L52" s="31"/>
    </x:row>
    <x:row r="53">
      <x:c r="A53" s="31"/>
      <x:c r="B53" s="31"/>
      <x:c r="C53" s="31"/>
      <x:c r="D53" s="31"/>
      <x:c r="E53" s="31"/>
      <x:c r="F53" s="36"/>
      <x:c r="G53" s="36"/>
      <x:c r="H53" s="31"/>
      <x:c r="I53" s="31"/>
      <x:c r="J53" s="31"/>
      <x:c r="K53" s="31"/>
      <x:c r="L53" s="31"/>
    </x:row>
    <x:row r="54">
      <x:c r="A54" s="31"/>
      <x:c r="B54" s="31"/>
      <x:c r="C54" s="31"/>
      <x:c r="D54" s="31"/>
      <x:c r="E54" s="31"/>
      <x:c r="F54" s="36"/>
      <x:c r="G54" s="36"/>
      <x:c r="H54" s="31"/>
      <x:c r="I54" s="31"/>
      <x:c r="J54" s="31"/>
      <x:c r="K54" s="31"/>
      <x:c r="L54" s="31"/>
    </x:row>
    <x:row r="55">
      <x:c r="A55" s="31"/>
      <x:c r="B55" s="31"/>
      <x:c r="C55" s="31"/>
      <x:c r="D55" s="31"/>
      <x:c r="E55" s="31"/>
      <x:c r="F55" s="36"/>
      <x:c r="G55" s="36"/>
      <x:c r="H55" s="31"/>
      <x:c r="I55" s="31"/>
      <x:c r="J55" s="31"/>
      <x:c r="K55" s="31"/>
      <x:c r="L55" s="31"/>
    </x:row>
    <x:row r="56">
      <x:c r="A56" s="31"/>
      <x:c r="B56" s="31"/>
      <x:c r="C56" s="31"/>
      <x:c r="D56" s="31"/>
      <x:c r="E56" s="31"/>
      <x:c r="F56" s="36"/>
      <x:c r="G56" s="36"/>
      <x:c r="H56" s="31"/>
      <x:c r="I56" s="31"/>
      <x:c r="J56" s="31"/>
      <x:c r="K56" s="31"/>
      <x:c r="L56" s="31"/>
    </x:row>
    <x:row r="57">
      <x:c r="A57" s="31"/>
      <x:c r="B57" s="31"/>
      <x:c r="C57" s="31"/>
      <x:c r="D57" s="31"/>
      <x:c r="E57" s="31"/>
      <x:c r="F57" s="36"/>
      <x:c r="G57" s="36"/>
      <x:c r="H57" s="31"/>
      <x:c r="I57" s="31"/>
      <x:c r="J57" s="31"/>
      <x:c r="K57" s="31"/>
      <x:c r="L57" s="31"/>
    </x:row>
    <x:row r="58">
      <x:c r="A58" s="31"/>
      <x:c r="B58" s="31"/>
      <x:c r="C58" s="31"/>
      <x:c r="D58" s="31"/>
      <x:c r="E58" s="31"/>
      <x:c r="F58" s="36"/>
      <x:c r="G58" s="36"/>
      <x:c r="H58" s="31"/>
      <x:c r="I58" s="31"/>
      <x:c r="J58" s="31"/>
      <x:c r="K58" s="31"/>
      <x:c r="L58" s="31"/>
    </x:row>
    <x:row r="59">
      <x:c r="A59" s="31"/>
      <x:c r="B59" s="31"/>
      <x:c r="C59" s="31"/>
      <x:c r="D59" s="31"/>
      <x:c r="E59" s="31"/>
      <x:c r="F59" s="36"/>
      <x:c r="G59" s="36"/>
      <x:c r="H59" s="31"/>
      <x:c r="I59" s="31"/>
      <x:c r="J59" s="31"/>
      <x:c r="K59" s="31"/>
      <x:c r="L59" s="31"/>
    </x:row>
    <x:row r="60">
      <x:c r="A60" s="31"/>
      <x:c r="B60" s="31"/>
      <x:c r="C60" s="31"/>
      <x:c r="D60" s="31"/>
      <x:c r="E60" s="31"/>
      <x:c r="F60" s="36"/>
      <x:c r="G60" s="36"/>
      <x:c r="H60" s="31"/>
      <x:c r="I60" s="31"/>
      <x:c r="J60" s="31"/>
      <x:c r="K60" s="31"/>
      <x:c r="L60" s="31"/>
    </x:row>
    <x:row r="61">
      <x:c r="A61" s="31"/>
      <x:c r="B61" s="31"/>
      <x:c r="C61" s="31"/>
      <x:c r="D61" s="31"/>
      <x:c r="E61" s="31"/>
      <x:c r="F61" s="36"/>
      <x:c r="G61" s="36"/>
      <x:c r="H61" s="31"/>
      <x:c r="I61" s="31"/>
      <x:c r="J61" s="31"/>
      <x:c r="K61" s="31"/>
      <x:c r="L61" s="31"/>
    </x:row>
    <x:row r="62">
      <x:c r="A62" s="31"/>
      <x:c r="B62" s="31"/>
      <x:c r="C62" s="31"/>
      <x:c r="D62" s="31"/>
      <x:c r="E62" s="31"/>
      <x:c r="F62" s="36"/>
      <x:c r="G62" s="36"/>
      <x:c r="H62" s="31"/>
      <x:c r="I62" s="31"/>
      <x:c r="J62" s="31"/>
      <x:c r="K62" s="31"/>
      <x:c r="L62" s="31"/>
    </x:row>
    <x:row r="63">
      <x:c r="A63" s="31"/>
      <x:c r="B63" s="31"/>
      <x:c r="C63" s="31"/>
      <x:c r="D63" s="31"/>
      <x:c r="E63" s="31"/>
      <x:c r="F63" s="36"/>
      <x:c r="G63" s="36"/>
      <x:c r="H63" s="31"/>
      <x:c r="I63" s="31"/>
      <x:c r="J63" s="31"/>
      <x:c r="K63" s="31"/>
      <x:c r="L63" s="31"/>
    </x:row>
    <x:row r="64">
      <x:c r="A64" s="31"/>
      <x:c r="B64" s="31"/>
      <x:c r="C64" s="31"/>
      <x:c r="D64" s="31"/>
      <x:c r="E64" s="31"/>
      <x:c r="F64" s="36"/>
      <x:c r="G64" s="36"/>
      <x:c r="H64" s="31"/>
      <x:c r="I64" s="31"/>
      <x:c r="J64" s="31"/>
      <x:c r="K64" s="31"/>
      <x:c r="L64" s="31"/>
    </x:row>
    <x:row r="65">
      <x:c r="A65" s="31"/>
      <x:c r="B65" s="31"/>
      <x:c r="C65" s="31"/>
      <x:c r="D65" s="31"/>
      <x:c r="E65" s="31"/>
      <x:c r="F65" s="36"/>
      <x:c r="G65" s="36"/>
      <x:c r="H65" s="31"/>
      <x:c r="I65" s="31"/>
      <x:c r="J65" s="31"/>
      <x:c r="K65" s="31"/>
      <x:c r="L65" s="31"/>
    </x:row>
    <x:row r="66">
      <x:c r="A66" s="31"/>
      <x:c r="B66" s="31"/>
      <x:c r="C66" s="31"/>
      <x:c r="D66" s="31"/>
      <x:c r="E66" s="31"/>
      <x:c r="F66" s="36"/>
      <x:c r="G66" s="36"/>
      <x:c r="H66" s="31"/>
      <x:c r="I66" s="31"/>
      <x:c r="J66" s="31"/>
      <x:c r="K66" s="31"/>
      <x:c r="L66" s="31"/>
    </x:row>
    <x:row r="67">
      <x:c r="A67" s="31"/>
      <x:c r="B67" s="31"/>
      <x:c r="C67" s="31"/>
      <x:c r="D67" s="31"/>
      <x:c r="E67" s="31"/>
      <x:c r="F67" s="36"/>
      <x:c r="G67" s="36"/>
      <x:c r="H67" s="31"/>
      <x:c r="I67" s="31"/>
      <x:c r="J67" s="31"/>
      <x:c r="K67" s="31"/>
      <x:c r="L67" s="31"/>
    </x:row>
    <x:row r="68">
      <x:c r="A68" s="31"/>
      <x:c r="B68" s="31"/>
      <x:c r="C68" s="31"/>
      <x:c r="D68" s="31"/>
      <x:c r="E68" s="31"/>
      <x:c r="F68" s="36"/>
      <x:c r="G68" s="36"/>
      <x:c r="H68" s="31"/>
      <x:c r="I68" s="31"/>
      <x:c r="J68" s="31"/>
      <x:c r="K68" s="31"/>
      <x:c r="L68" s="31"/>
    </x:row>
    <x:row r="69">
      <x:c r="A69" s="31"/>
      <x:c r="B69" s="31"/>
      <x:c r="C69" s="31"/>
      <x:c r="D69" s="31"/>
      <x:c r="E69" s="31"/>
      <x:c r="F69" s="36"/>
      <x:c r="G69" s="36"/>
      <x:c r="H69" s="31"/>
      <x:c r="I69" s="31"/>
      <x:c r="J69" s="31"/>
      <x:c r="K69" s="31"/>
      <x:c r="L69" s="31"/>
    </x:row>
    <x:row r="70">
      <x:c r="A70" s="31"/>
      <x:c r="B70" s="31"/>
      <x:c r="C70" s="31"/>
      <x:c r="D70" s="31"/>
      <x:c r="E70" s="31"/>
      <x:c r="F70" s="36"/>
      <x:c r="G70" s="36"/>
      <x:c r="H70" s="31"/>
      <x:c r="I70" s="31"/>
      <x:c r="J70" s="31"/>
      <x:c r="K70" s="31"/>
      <x:c r="L70" s="31"/>
    </x:row>
    <x:row r="71">
      <x:c r="A71" s="31"/>
      <x:c r="B71" s="31"/>
      <x:c r="C71" s="31"/>
      <x:c r="D71" s="31"/>
      <x:c r="E71" s="31"/>
      <x:c r="F71" s="36"/>
      <x:c r="G71" s="36"/>
      <x:c r="H71" s="31"/>
      <x:c r="I71" s="31"/>
      <x:c r="J71" s="31"/>
      <x:c r="K71" s="31"/>
      <x:c r="L71" s="31"/>
    </x:row>
    <x:row r="72">
      <x:c r="A72" s="31"/>
      <x:c r="B72" s="31"/>
      <x:c r="C72" s="31"/>
      <x:c r="D72" s="31"/>
      <x:c r="E72" s="31"/>
      <x:c r="F72" s="36"/>
      <x:c r="G72" s="36"/>
      <x:c r="H72" s="31"/>
      <x:c r="I72" s="31"/>
      <x:c r="J72" s="31"/>
      <x:c r="K72" s="31"/>
      <x:c r="L72" s="31"/>
    </x:row>
    <x:row r="73">
      <x:c r="A73" s="31"/>
      <x:c r="B73" s="31"/>
      <x:c r="C73" s="31"/>
      <x:c r="D73" s="31"/>
      <x:c r="E73" s="31"/>
      <x:c r="F73" s="36"/>
      <x:c r="G73" s="36"/>
      <x:c r="H73" s="31"/>
      <x:c r="I73" s="31"/>
      <x:c r="J73" s="31"/>
      <x:c r="K73" s="31"/>
      <x:c r="L73" s="31"/>
    </x:row>
    <x:row r="74">
      <x:c r="A74" s="31"/>
      <x:c r="B74" s="31"/>
      <x:c r="C74" s="31"/>
      <x:c r="D74" s="31"/>
      <x:c r="E74" s="31"/>
      <x:c r="F74" s="36"/>
      <x:c r="G74" s="36"/>
      <x:c r="H74" s="31"/>
      <x:c r="I74" s="31"/>
      <x:c r="J74" s="31"/>
      <x:c r="K74" s="31"/>
      <x:c r="L74" s="31"/>
    </x:row>
    <x:row r="75">
      <x:c r="A75" s="31"/>
      <x:c r="B75" s="31"/>
      <x:c r="C75" s="31"/>
      <x:c r="D75" s="31"/>
      <x:c r="E75" s="31"/>
      <x:c r="F75" s="36"/>
      <x:c r="G75" s="36"/>
      <x:c r="H75" s="31"/>
      <x:c r="I75" s="31"/>
      <x:c r="J75" s="31"/>
      <x:c r="K75" s="31"/>
      <x:c r="L75" s="31"/>
    </x:row>
    <x:row r="76">
      <x:c r="A76" s="31"/>
      <x:c r="B76" s="31"/>
      <x:c r="C76" s="31"/>
      <x:c r="D76" s="31"/>
      <x:c r="E76" s="31"/>
      <x:c r="F76" s="36"/>
      <x:c r="G76" s="36"/>
      <x:c r="H76" s="31"/>
      <x:c r="I76" s="31"/>
      <x:c r="J76" s="31"/>
      <x:c r="K76" s="31"/>
      <x:c r="L76" s="31"/>
    </x:row>
    <x:row r="77">
      <x:c r="A77" s="31"/>
      <x:c r="B77" s="31"/>
      <x:c r="C77" s="31"/>
      <x:c r="D77" s="31"/>
      <x:c r="E77" s="31"/>
      <x:c r="F77" s="36"/>
      <x:c r="G77" s="36"/>
      <x:c r="H77" s="31"/>
      <x:c r="I77" s="31"/>
      <x:c r="J77" s="31"/>
      <x:c r="K77" s="31"/>
      <x:c r="L77" s="31"/>
    </x:row>
    <x:row r="78">
      <x:c r="A78" s="31"/>
      <x:c r="B78" s="31"/>
      <x:c r="C78" s="31"/>
      <x:c r="D78" s="31"/>
      <x:c r="E78" s="31"/>
      <x:c r="F78" s="36"/>
      <x:c r="G78" s="36"/>
      <x:c r="H78" s="31"/>
      <x:c r="I78" s="31"/>
      <x:c r="J78" s="31"/>
      <x:c r="K78" s="31"/>
      <x:c r="L78" s="31"/>
    </x:row>
    <x:row r="79">
      <x:c r="A79" s="31"/>
      <x:c r="B79" s="31"/>
      <x:c r="C79" s="31"/>
      <x:c r="D79" s="31"/>
      <x:c r="E79" s="31"/>
      <x:c r="F79" s="36"/>
      <x:c r="G79" s="36"/>
      <x:c r="H79" s="31"/>
      <x:c r="I79" s="31"/>
      <x:c r="J79" s="31"/>
      <x:c r="K79" s="31"/>
      <x:c r="L79" s="31"/>
    </x:row>
    <x:row r="80">
      <x:c r="A80" s="31"/>
      <x:c r="B80" s="31"/>
      <x:c r="C80" s="31"/>
      <x:c r="D80" s="31"/>
      <x:c r="E80" s="31"/>
      <x:c r="F80" s="36"/>
      <x:c r="G80" s="36"/>
      <x:c r="H80" s="31"/>
      <x:c r="I80" s="31"/>
      <x:c r="J80" s="31"/>
      <x:c r="K80" s="31"/>
      <x:c r="L80" s="31"/>
    </x:row>
    <x:row r="81">
      <x:c r="A81" s="31"/>
      <x:c r="B81" s="31"/>
      <x:c r="C81" s="31"/>
      <x:c r="D81" s="31"/>
      <x:c r="E81" s="31"/>
      <x:c r="F81" s="36"/>
      <x:c r="G81" s="36"/>
      <x:c r="H81" s="31"/>
      <x:c r="I81" s="31"/>
      <x:c r="J81" s="31"/>
      <x:c r="K81" s="31"/>
      <x:c r="L81" s="31"/>
    </x:row>
    <x:row r="82">
      <x:c r="A82" s="31"/>
      <x:c r="B82" s="31"/>
      <x:c r="C82" s="31"/>
      <x:c r="D82" s="31"/>
      <x:c r="E82" s="31"/>
      <x:c r="F82" s="36"/>
      <x:c r="G82" s="36"/>
      <x:c r="H82" s="31"/>
      <x:c r="I82" s="31"/>
      <x:c r="J82" s="31"/>
      <x:c r="K82" s="31"/>
      <x:c r="L82" s="31"/>
    </x:row>
    <x:row r="83">
      <x:c r="A83" s="31"/>
      <x:c r="B83" s="31"/>
      <x:c r="C83" s="31"/>
      <x:c r="D83" s="31"/>
      <x:c r="E83" s="31"/>
      <x:c r="F83" s="36"/>
      <x:c r="G83" s="36"/>
      <x:c r="H83" s="31"/>
      <x:c r="I83" s="31"/>
      <x:c r="J83" s="31"/>
      <x:c r="K83" s="31"/>
      <x:c r="L83" s="31"/>
    </x:row>
    <x:row r="84">
      <x:c r="A84" s="31"/>
      <x:c r="B84" s="31"/>
      <x:c r="C84" s="31"/>
      <x:c r="D84" s="31"/>
      <x:c r="E84" s="31"/>
      <x:c r="F84" s="36"/>
      <x:c r="G84" s="36"/>
      <x:c r="H84" s="31"/>
      <x:c r="I84" s="31"/>
      <x:c r="J84" s="31"/>
      <x:c r="K84" s="31"/>
      <x:c r="L84" s="31"/>
    </x:row>
    <x:row r="85">
      <x:c r="A85" s="31"/>
      <x:c r="B85" s="31"/>
      <x:c r="C85" s="31"/>
      <x:c r="D85" s="31"/>
      <x:c r="E85" s="31"/>
      <x:c r="F85" s="36"/>
      <x:c r="G85" s="36"/>
      <x:c r="H85" s="31"/>
      <x:c r="I85" s="31"/>
      <x:c r="J85" s="31"/>
      <x:c r="K85" s="31"/>
      <x:c r="L85" s="31"/>
    </x:row>
    <x:row r="86">
      <x:c r="A86" s="31"/>
      <x:c r="B86" s="31"/>
      <x:c r="C86" s="31"/>
      <x:c r="D86" s="31"/>
      <x:c r="E86" s="31"/>
      <x:c r="F86" s="36"/>
      <x:c r="G86" s="36"/>
      <x:c r="H86" s="31"/>
      <x:c r="I86" s="31"/>
      <x:c r="J86" s="31"/>
      <x:c r="K86" s="31"/>
      <x:c r="L86" s="31"/>
    </x:row>
    <x:row r="87">
      <x:c r="A87" s="31"/>
      <x:c r="B87" s="31"/>
      <x:c r="C87" s="31"/>
      <x:c r="D87" s="31"/>
      <x:c r="E87" s="31"/>
      <x:c r="F87" s="36"/>
      <x:c r="G87" s="36"/>
      <x:c r="H87" s="31"/>
      <x:c r="I87" s="31"/>
      <x:c r="J87" s="31"/>
      <x:c r="K87" s="31"/>
      <x:c r="L87" s="31"/>
    </x:row>
    <x:row r="88">
      <x:c r="A88" s="31"/>
      <x:c r="B88" s="31"/>
      <x:c r="C88" s="31"/>
      <x:c r="D88" s="31"/>
      <x:c r="E88" s="31"/>
      <x:c r="F88" s="36"/>
      <x:c r="G88" s="36"/>
      <x:c r="H88" s="31"/>
      <x:c r="I88" s="31"/>
      <x:c r="J88" s="31"/>
      <x:c r="K88" s="31"/>
      <x:c r="L88" s="31"/>
    </x:row>
    <x:row r="89">
      <x:c r="A89" s="31"/>
      <x:c r="B89" s="31"/>
      <x:c r="C89" s="31"/>
      <x:c r="D89" s="31"/>
      <x:c r="E89" s="31"/>
      <x:c r="F89" s="36"/>
      <x:c r="G89" s="36"/>
      <x:c r="H89" s="31"/>
      <x:c r="I89" s="31"/>
      <x:c r="J89" s="31"/>
      <x:c r="K89" s="31"/>
      <x:c r="L89" s="31"/>
    </x:row>
    <x:row r="90">
      <x:c r="A90" s="31"/>
      <x:c r="B90" s="31"/>
      <x:c r="C90" s="31"/>
      <x:c r="D90" s="31"/>
      <x:c r="E90" s="31"/>
      <x:c r="F90" s="36"/>
      <x:c r="G90" s="36"/>
      <x:c r="H90" s="31"/>
      <x:c r="I90" s="31"/>
      <x:c r="J90" s="31"/>
      <x:c r="K90" s="31"/>
      <x:c r="L90" s="31"/>
    </x:row>
    <x:row r="91">
      <x:c r="A91" s="31"/>
      <x:c r="B91" s="31"/>
      <x:c r="C91" s="31"/>
      <x:c r="D91" s="31"/>
      <x:c r="E91" s="31"/>
      <x:c r="F91" s="36"/>
      <x:c r="G91" s="36"/>
      <x:c r="H91" s="31"/>
      <x:c r="I91" s="31"/>
      <x:c r="J91" s="31"/>
      <x:c r="K91" s="31"/>
      <x:c r="L91" s="31"/>
    </x:row>
    <x:row r="92">
      <x:c r="A92" s="31"/>
      <x:c r="B92" s="31"/>
      <x:c r="C92" s="31"/>
      <x:c r="D92" s="31"/>
      <x:c r="E92" s="31"/>
      <x:c r="F92" s="36"/>
      <x:c r="G92" s="36"/>
      <x:c r="H92" s="31"/>
      <x:c r="I92" s="31"/>
      <x:c r="J92" s="31"/>
      <x:c r="K92" s="31"/>
      <x:c r="L92" s="31"/>
    </x:row>
    <x:row r="93">
      <x:c r="A93" s="31"/>
      <x:c r="B93" s="31"/>
      <x:c r="C93" s="31"/>
      <x:c r="D93" s="31"/>
      <x:c r="E93" s="31"/>
      <x:c r="F93" s="36"/>
      <x:c r="G93" s="36"/>
      <x:c r="H93" s="31"/>
      <x:c r="I93" s="31"/>
      <x:c r="J93" s="31"/>
      <x:c r="K93" s="31"/>
      <x:c r="L93" s="31"/>
    </x:row>
    <x:row r="94">
      <x:c r="A94" s="31"/>
      <x:c r="B94" s="31"/>
      <x:c r="C94" s="31"/>
      <x:c r="D94" s="31"/>
      <x:c r="E94" s="31"/>
      <x:c r="F94" s="36"/>
      <x:c r="G94" s="36"/>
      <x:c r="H94" s="31"/>
      <x:c r="I94" s="31"/>
      <x:c r="J94" s="31"/>
      <x:c r="K94" s="31"/>
      <x:c r="L94" s="31"/>
    </x:row>
    <x:row r="95">
      <x:c r="A95" s="31"/>
      <x:c r="B95" s="31"/>
      <x:c r="C95" s="31"/>
      <x:c r="D95" s="31"/>
      <x:c r="E95" s="31"/>
      <x:c r="F95" s="36"/>
      <x:c r="G95" s="36"/>
      <x:c r="H95" s="31"/>
      <x:c r="I95" s="31"/>
      <x:c r="J95" s="31"/>
      <x:c r="K95" s="31"/>
      <x:c r="L95" s="31"/>
    </x:row>
    <x:row r="96">
      <x:c r="A96" s="31"/>
      <x:c r="B96" s="31"/>
      <x:c r="C96" s="31"/>
      <x:c r="D96" s="31"/>
      <x:c r="E96" s="31"/>
      <x:c r="F96" s="36"/>
      <x:c r="G96" s="36"/>
      <x:c r="H96" s="31"/>
      <x:c r="I96" s="31"/>
      <x:c r="J96" s="31"/>
      <x:c r="K96" s="31"/>
      <x:c r="L96" s="31"/>
    </x:row>
    <x:row r="97">
      <x:c r="A97" s="31"/>
      <x:c r="B97" s="31"/>
      <x:c r="C97" s="31"/>
      <x:c r="D97" s="31"/>
      <x:c r="E97" s="31"/>
      <x:c r="F97" s="36"/>
      <x:c r="G97" s="36"/>
      <x:c r="H97" s="31"/>
      <x:c r="I97" s="31"/>
      <x:c r="J97" s="31"/>
      <x:c r="K97" s="31"/>
      <x:c r="L97" s="31"/>
    </x:row>
    <x:row r="98">
      <x:c r="A98" s="31"/>
      <x:c r="B98" s="31"/>
      <x:c r="C98" s="31"/>
      <x:c r="D98" s="31"/>
      <x:c r="E98" s="31"/>
      <x:c r="F98" s="36"/>
      <x:c r="G98" s="36"/>
      <x:c r="H98" s="31"/>
      <x:c r="I98" s="31"/>
      <x:c r="J98" s="31"/>
      <x:c r="K98" s="31"/>
      <x:c r="L98" s="31"/>
    </x:row>
    <x:row r="99">
      <x:c r="A99" s="31"/>
      <x:c r="B99" s="31"/>
      <x:c r="C99" s="31"/>
      <x:c r="D99" s="31"/>
      <x:c r="E99" s="31"/>
      <x:c r="F99" s="36"/>
      <x:c r="G99" s="36"/>
      <x:c r="H99" s="31"/>
      <x:c r="I99" s="31"/>
      <x:c r="J99" s="31"/>
      <x:c r="K99" s="31"/>
      <x:c r="L99" s="31"/>
    </x:row>
    <x:row r="100">
      <x:c r="A100" s="31"/>
      <x:c r="B100" s="31"/>
      <x:c r="C100" s="31"/>
      <x:c r="D100" s="31"/>
      <x:c r="E100" s="31"/>
      <x:c r="F100" s="36"/>
      <x:c r="G100" s="36"/>
      <x:c r="H100" s="31"/>
      <x:c r="I100" s="31"/>
      <x:c r="J100" s="31"/>
      <x:c r="K100" s="31"/>
      <x:c r="L100" s="31"/>
    </x:row>
    <x:row r="101">
      <x:c r="A101" s="31"/>
      <x:c r="B101" s="31"/>
      <x:c r="C101" s="31"/>
      <x:c r="D101" s="31"/>
      <x:c r="E101" s="31"/>
      <x:c r="F101" s="36"/>
      <x:c r="G101" s="36"/>
      <x:c r="H101" s="31"/>
      <x:c r="I101" s="31"/>
      <x:c r="J101" s="31"/>
      <x:c r="K101" s="31"/>
      <x:c r="L101" s="31"/>
    </x:row>
    <x:row r="102">
      <x:c r="A102" s="31"/>
      <x:c r="B102" s="31"/>
      <x:c r="C102" s="31"/>
      <x:c r="D102" s="31"/>
      <x:c r="E102" s="31"/>
      <x:c r="F102" s="36"/>
      <x:c r="G102" s="36"/>
      <x:c r="H102" s="31"/>
      <x:c r="I102" s="31"/>
      <x:c r="J102" s="31"/>
      <x:c r="K102" s="31"/>
      <x:c r="L102" s="31"/>
    </x:row>
    <x:row r="103">
      <x:c r="A103" s="31"/>
      <x:c r="B103" s="31"/>
      <x:c r="C103" s="31"/>
      <x:c r="D103" s="31"/>
      <x:c r="E103" s="31"/>
      <x:c r="F103" s="36"/>
      <x:c r="G103" s="36"/>
      <x:c r="H103" s="31"/>
      <x:c r="I103" s="31"/>
      <x:c r="J103" s="31"/>
      <x:c r="K103" s="31"/>
      <x:c r="L103" s="31"/>
    </x:row>
    <x:row r="104">
      <x:c r="A104" s="31"/>
      <x:c r="B104" s="31"/>
      <x:c r="C104" s="31"/>
      <x:c r="D104" s="31"/>
      <x:c r="E104" s="31"/>
      <x:c r="F104" s="36"/>
      <x:c r="G104" s="36"/>
      <x:c r="H104" s="31"/>
      <x:c r="I104" s="31"/>
      <x:c r="J104" s="31"/>
      <x:c r="K104" s="31"/>
      <x:c r="L104" s="31"/>
    </x:row>
    <x:row r="105">
      <x:c r="A105" s="31"/>
      <x:c r="B105" s="31"/>
      <x:c r="C105" s="31"/>
      <x:c r="D105" s="31"/>
      <x:c r="E105" s="31"/>
      <x:c r="F105" s="36"/>
      <x:c r="G105" s="36"/>
      <x:c r="H105" s="31"/>
      <x:c r="I105" s="31"/>
      <x:c r="J105" s="31"/>
      <x:c r="K105" s="31"/>
      <x:c r="L105" s="31"/>
    </x:row>
    <x:row r="106">
      <x:c r="A106" s="31"/>
      <x:c r="B106" s="31"/>
      <x:c r="C106" s="31"/>
      <x:c r="D106" s="31"/>
      <x:c r="E106" s="31"/>
      <x:c r="F106" s="36"/>
      <x:c r="G106" s="36"/>
      <x:c r="H106" s="31"/>
      <x:c r="I106" s="31"/>
      <x:c r="J106" s="31"/>
      <x:c r="K106" s="31"/>
      <x:c r="L106" s="31"/>
    </x:row>
    <x:row r="107">
      <x:c r="A107"/>
      <x:c r="B107"/>
      <x:c r="C107"/>
      <x:c r="D107"/>
      <x:c r="E107"/>
      <x:c r="F107" s="52"/>
      <x:c r="G107" s="52"/>
      <x:c r="H107"/>
      <x:c r="I107"/>
      <x:c r="J107"/>
      <x:c r="K107"/>
      <x:c r="L107"/>
    </x:row>
  </x:sheetData>
  <x:mergeCells>
    <x:mergeCell ref="A1:L1"/>
    <x:mergeCell ref="A2:L2"/>
  </x:mergeCells>
  <x:dataValidations count="1">
    <x:dataValidation type="list" sqref="H5:H107">
      <x:formula1>"Due,Waiting,Completed,Blocked,No Response,Archived"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4d1b87d6a84b5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70.37999725341797" hidden="0" customWidth="1"/>
    <x:col min="2" max="2" width="15.25" hidden="0" customWidth="1"/>
    <x:col min="3" max="3" width="12.880000114440918" hidden="0" customWidth="1"/>
    <x:col min="4" max="4" width="11" hidden="0" customWidth="1"/>
    <x:col min="5" max="5" width="13.75" hidden="0" customWidth="1"/>
    <x:col min="6" max="6" width="12.5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9.75" hidden="0" customWidth="1"/>
    <x:col min="12" max="12" width="16.8799991607666" hidden="0" customWidth="1"/>
    <x:col min="13" max="13" width="28" hidden="0" customWidth="1"/>
  </x:cols>
  <x:sheetData>
    <x:row r="1" ht="30" customHeight="1">
      <x:c r="A1" s="70" t="str">
        <x:v>RECEIPTS + EVIDENCE LOG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 ht="34" customHeight="1">
      <x:c r="A2" s="15" t="str">
        <x:v>Immutable-style evidence log for approvals, external sends, quotes, submissions and decisions.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>
      <x:c r="A4" s="34" t="str">
        <x:v>Receipt_ID</x:v>
      </x:c>
      <x:c r="B4" s="34" t="str">
        <x:v>Case_ID</x:v>
      </x:c>
      <x:c r="C4" s="34" t="str">
        <x:v>Action_Type</x:v>
      </x:c>
      <x:c r="D4" s="34" t="str">
        <x:v>Actor</x:v>
      </x:c>
      <x:c r="E4" s="34" t="str">
        <x:v>Timestamp</x:v>
      </x:c>
      <x:c r="F4" s="34" t="str">
        <x:v>Approval_ID</x:v>
      </x:c>
      <x:c r="G4" s="34" t="str">
        <x:v>Input_Summary</x:v>
      </x:c>
      <x:c r="H4" s="34" t="str">
        <x:v>Output_Summary</x:v>
      </x:c>
      <x:c r="I4" s="34" t="str">
        <x:v>Verification_Proof</x:v>
      </x:c>
      <x:c r="J4" s="34" t="str">
        <x:v>External_Effect</x:v>
      </x:c>
      <x:c r="K4" s="34" t="str">
        <x:v>Status</x:v>
      </x:c>
      <x:c r="L4" s="34" t="str">
        <x:v>Followup_Needed</x:v>
      </x:c>
      <x:c r="M4" s="34" t="str">
        <x:v>Notes</x:v>
      </x:c>
    </x:row>
    <x:row r="5">
      <x:c r="A5" s="31" t="str">
        <x:v>RCT-20260630-001</x:v>
      </x:c>
      <x:c r="B5" s="31" t="str">
        <x:v>GOV-20260630-002</x:v>
      </x:c>
      <x:c r="C5" s="31" t="str">
        <x:v>Fast Kill Decision</x:v>
      </x:c>
      <x:c r="D5" s="31" t="str">
        <x:v>Fast Kill Agent</x:v>
      </x:c>
      <x:c r="E5" s="42" t="n">
        <x:v>46202.7939430787</x:v>
      </x:c>
      <x:c r="F5" s="31" t="str"/>
      <x:c r="G5" s="31" t="str">
        <x:v>Tender required OEM authorization + deadline too short</x:v>
      </x:c>
      <x:c r="H5" s="31" t="str">
        <x:v>Archived case</x:v>
      </x:c>
      <x:c r="I5" s="31" t="str">
        <x:v>Master_Cases row + source URL</x:v>
      </x:c>
      <x:c r="J5" s="31" t="str">
        <x:v>No external effect</x:v>
      </x:c>
      <x:c r="K5" s="31" t="str">
        <x:v>Complete</x:v>
      </x:c>
      <x:c r="L5" s="31" t="str">
        <x:v>No</x:v>
      </x:c>
      <x:c r="M5" s="31" t="str">
        <x:v>Sample</x:v>
      </x:c>
    </x:row>
    <x:row r="6">
      <x:c r="A6" s="31"/>
      <x:c r="B6" s="31"/>
      <x:c r="C6" s="31"/>
      <x:c r="D6" s="31"/>
      <x:c r="E6" s="42"/>
      <x:c r="F6" s="31"/>
      <x:c r="G6" s="31"/>
      <x:c r="H6" s="31"/>
      <x:c r="I6" s="31"/>
      <x:c r="J6" s="31"/>
      <x:c r="K6" s="31"/>
      <x:c r="L6" s="31"/>
      <x:c r="M6" s="31"/>
    </x:row>
    <x:row r="7">
      <x:c r="A7" s="31"/>
      <x:c r="B7" s="31"/>
      <x:c r="C7" s="31"/>
      <x:c r="D7" s="31"/>
      <x:c r="E7" s="42"/>
      <x:c r="F7" s="31"/>
      <x:c r="G7" s="31"/>
      <x:c r="H7" s="31"/>
      <x:c r="I7" s="31"/>
      <x:c r="J7" s="31"/>
      <x:c r="K7" s="31"/>
      <x:c r="L7" s="31"/>
      <x:c r="M7" s="31"/>
    </x:row>
    <x:row r="8">
      <x:c r="A8" s="31"/>
      <x:c r="B8" s="31"/>
      <x:c r="C8" s="31"/>
      <x:c r="D8" s="31"/>
      <x:c r="E8" s="42"/>
      <x:c r="F8" s="31"/>
      <x:c r="G8" s="31"/>
      <x:c r="H8" s="31"/>
      <x:c r="I8" s="31"/>
      <x:c r="J8" s="31"/>
      <x:c r="K8" s="31"/>
      <x:c r="L8" s="31"/>
      <x:c r="M8" s="31"/>
    </x:row>
    <x:row r="9">
      <x:c r="A9" s="31"/>
      <x:c r="B9" s="31"/>
      <x:c r="C9" s="31"/>
      <x:c r="D9" s="31"/>
      <x:c r="E9" s="42"/>
      <x:c r="F9" s="31"/>
      <x:c r="G9" s="31"/>
      <x:c r="H9" s="31"/>
      <x:c r="I9" s="31"/>
      <x:c r="J9" s="31"/>
      <x:c r="K9" s="31"/>
      <x:c r="L9" s="31"/>
      <x:c r="M9" s="31"/>
    </x:row>
    <x:row r="10">
      <x:c r="A10" s="31"/>
      <x:c r="B10" s="31"/>
      <x:c r="C10" s="31"/>
      <x:c r="D10" s="31"/>
      <x:c r="E10" s="42"/>
      <x:c r="F10" s="31"/>
      <x:c r="G10" s="31"/>
      <x:c r="H10" s="31"/>
      <x:c r="I10" s="31"/>
      <x:c r="J10" s="31"/>
      <x:c r="K10" s="31"/>
      <x:c r="L10" s="31"/>
      <x:c r="M10" s="31"/>
    </x:row>
    <x:row r="11">
      <x:c r="A11" s="31"/>
      <x:c r="B11" s="31"/>
      <x:c r="C11" s="31"/>
      <x:c r="D11" s="31"/>
      <x:c r="E11" s="42"/>
      <x:c r="F11" s="31"/>
      <x:c r="G11" s="31"/>
      <x:c r="H11" s="31"/>
      <x:c r="I11" s="31"/>
      <x:c r="J11" s="31"/>
      <x:c r="K11" s="31"/>
      <x:c r="L11" s="31"/>
      <x:c r="M11" s="31"/>
    </x:row>
    <x:row r="12">
      <x:c r="A12" s="31"/>
      <x:c r="B12" s="31"/>
      <x:c r="C12" s="31"/>
      <x:c r="D12" s="31"/>
      <x:c r="E12" s="42"/>
      <x:c r="F12" s="31"/>
      <x:c r="G12" s="31"/>
      <x:c r="H12" s="31"/>
      <x:c r="I12" s="31"/>
      <x:c r="J12" s="31"/>
      <x:c r="K12" s="31"/>
      <x:c r="L12" s="31"/>
      <x:c r="M12" s="31"/>
    </x:row>
    <x:row r="13">
      <x:c r="A13" s="31"/>
      <x:c r="B13" s="31"/>
      <x:c r="C13" s="31"/>
      <x:c r="D13" s="31"/>
      <x:c r="E13" s="42"/>
      <x:c r="F13" s="31"/>
      <x:c r="G13" s="31"/>
      <x:c r="H13" s="31"/>
      <x:c r="I13" s="31"/>
      <x:c r="J13" s="31"/>
      <x:c r="K13" s="31"/>
      <x:c r="L13" s="31"/>
      <x:c r="M13" s="31"/>
    </x:row>
    <x:row r="14">
      <x:c r="A14" s="31"/>
      <x:c r="B14" s="31"/>
      <x:c r="C14" s="31"/>
      <x:c r="D14" s="31"/>
      <x:c r="E14" s="42"/>
      <x:c r="F14" s="31"/>
      <x:c r="G14" s="31"/>
      <x:c r="H14" s="31"/>
      <x:c r="I14" s="31"/>
      <x:c r="J14" s="31"/>
      <x:c r="K14" s="31"/>
      <x:c r="L14" s="31"/>
      <x:c r="M14" s="31"/>
    </x:row>
    <x:row r="15">
      <x:c r="A15" s="31"/>
      <x:c r="B15" s="31"/>
      <x:c r="C15" s="31"/>
      <x:c r="D15" s="31"/>
      <x:c r="E15" s="42"/>
      <x:c r="F15" s="31"/>
      <x:c r="G15" s="31"/>
      <x:c r="H15" s="31"/>
      <x:c r="I15" s="31"/>
      <x:c r="J15" s="31"/>
      <x:c r="K15" s="31"/>
      <x:c r="L15" s="31"/>
      <x:c r="M15" s="31"/>
    </x:row>
    <x:row r="16">
      <x:c r="A16" s="31"/>
      <x:c r="B16" s="31"/>
      <x:c r="C16" s="31"/>
      <x:c r="D16" s="31"/>
      <x:c r="E16" s="42"/>
      <x:c r="F16" s="31"/>
      <x:c r="G16" s="31"/>
      <x:c r="H16" s="31"/>
      <x:c r="I16" s="31"/>
      <x:c r="J16" s="31"/>
      <x:c r="K16" s="31"/>
      <x:c r="L16" s="31"/>
      <x:c r="M16" s="31"/>
    </x:row>
    <x:row r="17">
      <x:c r="A17" s="31"/>
      <x:c r="B17" s="31"/>
      <x:c r="C17" s="31"/>
      <x:c r="D17" s="31"/>
      <x:c r="E17" s="42"/>
      <x:c r="F17" s="31"/>
      <x:c r="G17" s="31"/>
      <x:c r="H17" s="31"/>
      <x:c r="I17" s="31"/>
      <x:c r="J17" s="31"/>
      <x:c r="K17" s="31"/>
      <x:c r="L17" s="31"/>
      <x:c r="M17" s="31"/>
    </x:row>
    <x:row r="18">
      <x:c r="A18" s="31"/>
      <x:c r="B18" s="31"/>
      <x:c r="C18" s="31"/>
      <x:c r="D18" s="31"/>
      <x:c r="E18" s="42"/>
      <x:c r="F18" s="31"/>
      <x:c r="G18" s="31"/>
      <x:c r="H18" s="31"/>
      <x:c r="I18" s="31"/>
      <x:c r="J18" s="31"/>
      <x:c r="K18" s="31"/>
      <x:c r="L18" s="31"/>
      <x:c r="M18" s="31"/>
    </x:row>
    <x:row r="19">
      <x:c r="A19" s="31"/>
      <x:c r="B19" s="31"/>
      <x:c r="C19" s="31"/>
      <x:c r="D19" s="31"/>
      <x:c r="E19" s="42"/>
      <x:c r="F19" s="31"/>
      <x:c r="G19" s="31"/>
      <x:c r="H19" s="31"/>
      <x:c r="I19" s="31"/>
      <x:c r="J19" s="31"/>
      <x:c r="K19" s="31"/>
      <x:c r="L19" s="31"/>
      <x:c r="M19" s="31"/>
    </x:row>
    <x:row r="20">
      <x:c r="A20" s="31"/>
      <x:c r="B20" s="31"/>
      <x:c r="C20" s="31"/>
      <x:c r="D20" s="31"/>
      <x:c r="E20" s="42"/>
      <x:c r="F20" s="31"/>
      <x:c r="G20" s="31"/>
      <x:c r="H20" s="31"/>
      <x:c r="I20" s="31"/>
      <x:c r="J20" s="31"/>
      <x:c r="K20" s="31"/>
      <x:c r="L20" s="31"/>
      <x:c r="M20" s="31"/>
    </x:row>
    <x:row r="21">
      <x:c r="A21" s="31"/>
      <x:c r="B21" s="31"/>
      <x:c r="C21" s="31"/>
      <x:c r="D21" s="31"/>
      <x:c r="E21" s="42"/>
      <x:c r="F21" s="31"/>
      <x:c r="G21" s="31"/>
      <x:c r="H21" s="31"/>
      <x:c r="I21" s="31"/>
      <x:c r="J21" s="31"/>
      <x:c r="K21" s="31"/>
      <x:c r="L21" s="31"/>
      <x:c r="M21" s="31"/>
    </x:row>
    <x:row r="22">
      <x:c r="A22" s="31"/>
      <x:c r="B22" s="31"/>
      <x:c r="C22" s="31"/>
      <x:c r="D22" s="31"/>
      <x:c r="E22" s="42"/>
      <x:c r="F22" s="31"/>
      <x:c r="G22" s="31"/>
      <x:c r="H22" s="31"/>
      <x:c r="I22" s="31"/>
      <x:c r="J22" s="31"/>
      <x:c r="K22" s="31"/>
      <x:c r="L22" s="31"/>
      <x:c r="M22" s="31"/>
    </x:row>
    <x:row r="23">
      <x:c r="A23" s="31"/>
      <x:c r="B23" s="31"/>
      <x:c r="C23" s="31"/>
      <x:c r="D23" s="31"/>
      <x:c r="E23" s="42"/>
      <x:c r="F23" s="31"/>
      <x:c r="G23" s="31"/>
      <x:c r="H23" s="31"/>
      <x:c r="I23" s="31"/>
      <x:c r="J23" s="31"/>
      <x:c r="K23" s="31"/>
      <x:c r="L23" s="31"/>
      <x:c r="M23" s="31"/>
    </x:row>
    <x:row r="24">
      <x:c r="A24" s="31"/>
      <x:c r="B24" s="31"/>
      <x:c r="C24" s="31"/>
      <x:c r="D24" s="31"/>
      <x:c r="E24" s="42"/>
      <x:c r="F24" s="31"/>
      <x:c r="G24" s="31"/>
      <x:c r="H24" s="31"/>
      <x:c r="I24" s="31"/>
      <x:c r="J24" s="31"/>
      <x:c r="K24" s="31"/>
      <x:c r="L24" s="31"/>
      <x:c r="M24" s="31"/>
    </x:row>
    <x:row r="25">
      <x:c r="A25" s="31"/>
      <x:c r="B25" s="31"/>
      <x:c r="C25" s="31"/>
      <x:c r="D25" s="31"/>
      <x:c r="E25" s="42"/>
      <x:c r="F25" s="31"/>
      <x:c r="G25" s="31"/>
      <x:c r="H25" s="31"/>
      <x:c r="I25" s="31"/>
      <x:c r="J25" s="31"/>
      <x:c r="K25" s="31"/>
      <x:c r="L25" s="31"/>
      <x:c r="M25" s="31"/>
    </x:row>
    <x:row r="26">
      <x:c r="A26" s="31"/>
      <x:c r="B26" s="31"/>
      <x:c r="C26" s="31"/>
      <x:c r="D26" s="31"/>
      <x:c r="E26" s="42"/>
      <x:c r="F26" s="31"/>
      <x:c r="G26" s="31"/>
      <x:c r="H26" s="31"/>
      <x:c r="I26" s="31"/>
      <x:c r="J26" s="31"/>
      <x:c r="K26" s="31"/>
      <x:c r="L26" s="31"/>
      <x:c r="M26" s="31"/>
    </x:row>
    <x:row r="27">
      <x:c r="A27" s="31"/>
      <x:c r="B27" s="31"/>
      <x:c r="C27" s="31"/>
      <x:c r="D27" s="31"/>
      <x:c r="E27" s="42"/>
      <x:c r="F27" s="31"/>
      <x:c r="G27" s="31"/>
      <x:c r="H27" s="31"/>
      <x:c r="I27" s="31"/>
      <x:c r="J27" s="31"/>
      <x:c r="K27" s="31"/>
      <x:c r="L27" s="31"/>
      <x:c r="M27" s="31"/>
    </x:row>
    <x:row r="28">
      <x:c r="A28" s="31"/>
      <x:c r="B28" s="31"/>
      <x:c r="C28" s="31"/>
      <x:c r="D28" s="31"/>
      <x:c r="E28" s="42"/>
      <x:c r="F28" s="31"/>
      <x:c r="G28" s="31"/>
      <x:c r="H28" s="31"/>
      <x:c r="I28" s="31"/>
      <x:c r="J28" s="31"/>
      <x:c r="K28" s="31"/>
      <x:c r="L28" s="31"/>
      <x:c r="M28" s="31"/>
    </x:row>
    <x:row r="29">
      <x:c r="A29" s="31"/>
      <x:c r="B29" s="31"/>
      <x:c r="C29" s="31"/>
      <x:c r="D29" s="31"/>
      <x:c r="E29" s="42"/>
      <x:c r="F29" s="31"/>
      <x:c r="G29" s="31"/>
      <x:c r="H29" s="31"/>
      <x:c r="I29" s="31"/>
      <x:c r="J29" s="31"/>
      <x:c r="K29" s="31"/>
      <x:c r="L29" s="31"/>
      <x:c r="M29" s="31"/>
    </x:row>
    <x:row r="30">
      <x:c r="A30" s="31"/>
      <x:c r="B30" s="31"/>
      <x:c r="C30" s="31"/>
      <x:c r="D30" s="31"/>
      <x:c r="E30" s="42"/>
      <x:c r="F30" s="31"/>
      <x:c r="G30" s="31"/>
      <x:c r="H30" s="31"/>
      <x:c r="I30" s="31"/>
      <x:c r="J30" s="31"/>
      <x:c r="K30" s="31"/>
      <x:c r="L30" s="31"/>
      <x:c r="M30" s="31"/>
    </x:row>
    <x:row r="31">
      <x:c r="A31" s="31"/>
      <x:c r="B31" s="31"/>
      <x:c r="C31" s="31"/>
      <x:c r="D31" s="31"/>
      <x:c r="E31" s="42"/>
      <x:c r="F31" s="31"/>
      <x:c r="G31" s="31"/>
      <x:c r="H31" s="31"/>
      <x:c r="I31" s="31"/>
      <x:c r="J31" s="31"/>
      <x:c r="K31" s="31"/>
      <x:c r="L31" s="31"/>
      <x:c r="M31" s="31"/>
    </x:row>
    <x:row r="32">
      <x:c r="A32" s="31"/>
      <x:c r="B32" s="31"/>
      <x:c r="C32" s="31"/>
      <x:c r="D32" s="31"/>
      <x:c r="E32" s="42"/>
      <x:c r="F32" s="31"/>
      <x:c r="G32" s="31"/>
      <x:c r="H32" s="31"/>
      <x:c r="I32" s="31"/>
      <x:c r="J32" s="31"/>
      <x:c r="K32" s="31"/>
      <x:c r="L32" s="31"/>
      <x:c r="M32" s="31"/>
    </x:row>
    <x:row r="33">
      <x:c r="A33" s="31"/>
      <x:c r="B33" s="31"/>
      <x:c r="C33" s="31"/>
      <x:c r="D33" s="31"/>
      <x:c r="E33" s="42"/>
      <x:c r="F33" s="31"/>
      <x:c r="G33" s="31"/>
      <x:c r="H33" s="31"/>
      <x:c r="I33" s="31"/>
      <x:c r="J33" s="31"/>
      <x:c r="K33" s="31"/>
      <x:c r="L33" s="31"/>
      <x:c r="M33" s="31"/>
    </x:row>
    <x:row r="34">
      <x:c r="A34" s="31"/>
      <x:c r="B34" s="31"/>
      <x:c r="C34" s="31"/>
      <x:c r="D34" s="31"/>
      <x:c r="E34" s="42"/>
      <x:c r="F34" s="31"/>
      <x:c r="G34" s="31"/>
      <x:c r="H34" s="31"/>
      <x:c r="I34" s="31"/>
      <x:c r="J34" s="31"/>
      <x:c r="K34" s="31"/>
      <x:c r="L34" s="31"/>
      <x:c r="M34" s="31"/>
    </x:row>
    <x:row r="35">
      <x:c r="A35" s="31"/>
      <x:c r="B35" s="31"/>
      <x:c r="C35" s="31"/>
      <x:c r="D35" s="31"/>
      <x:c r="E35" s="42"/>
      <x:c r="F35" s="31"/>
      <x:c r="G35" s="31"/>
      <x:c r="H35" s="31"/>
      <x:c r="I35" s="31"/>
      <x:c r="J35" s="31"/>
      <x:c r="K35" s="31"/>
      <x:c r="L35" s="31"/>
      <x:c r="M35" s="31"/>
    </x:row>
    <x:row r="36">
      <x:c r="A36" s="31"/>
      <x:c r="B36" s="31"/>
      <x:c r="C36" s="31"/>
      <x:c r="D36" s="31"/>
      <x:c r="E36" s="42"/>
      <x:c r="F36" s="31"/>
      <x:c r="G36" s="31"/>
      <x:c r="H36" s="31"/>
      <x:c r="I36" s="31"/>
      <x:c r="J36" s="31"/>
      <x:c r="K36" s="31"/>
      <x:c r="L36" s="31"/>
      <x:c r="M36" s="31"/>
    </x:row>
    <x:row r="37">
      <x:c r="A37" s="31"/>
      <x:c r="B37" s="31"/>
      <x:c r="C37" s="31"/>
      <x:c r="D37" s="31"/>
      <x:c r="E37" s="42"/>
      <x:c r="F37" s="31"/>
      <x:c r="G37" s="31"/>
      <x:c r="H37" s="31"/>
      <x:c r="I37" s="31"/>
      <x:c r="J37" s="31"/>
      <x:c r="K37" s="31"/>
      <x:c r="L37" s="31"/>
      <x:c r="M37" s="31"/>
    </x:row>
    <x:row r="38">
      <x:c r="A38" s="31"/>
      <x:c r="B38" s="31"/>
      <x:c r="C38" s="31"/>
      <x:c r="D38" s="31"/>
      <x:c r="E38" s="42"/>
      <x:c r="F38" s="31"/>
      <x:c r="G38" s="31"/>
      <x:c r="H38" s="31"/>
      <x:c r="I38" s="31"/>
      <x:c r="J38" s="31"/>
      <x:c r="K38" s="31"/>
      <x:c r="L38" s="31"/>
      <x:c r="M38" s="31"/>
    </x:row>
    <x:row r="39">
      <x:c r="A39" s="31"/>
      <x:c r="B39" s="31"/>
      <x:c r="C39" s="31"/>
      <x:c r="D39" s="31"/>
      <x:c r="E39" s="42"/>
      <x:c r="F39" s="31"/>
      <x:c r="G39" s="31"/>
      <x:c r="H39" s="31"/>
      <x:c r="I39" s="31"/>
      <x:c r="J39" s="31"/>
      <x:c r="K39" s="31"/>
      <x:c r="L39" s="31"/>
      <x:c r="M39" s="31"/>
    </x:row>
    <x:row r="40">
      <x:c r="A40" s="31"/>
      <x:c r="B40" s="31"/>
      <x:c r="C40" s="31"/>
      <x:c r="D40" s="31"/>
      <x:c r="E40" s="42"/>
      <x:c r="F40" s="31"/>
      <x:c r="G40" s="31"/>
      <x:c r="H40" s="31"/>
      <x:c r="I40" s="31"/>
      <x:c r="J40" s="31"/>
      <x:c r="K40" s="31"/>
      <x:c r="L40" s="31"/>
      <x:c r="M40" s="31"/>
    </x:row>
    <x:row r="41">
      <x:c r="A41" s="31"/>
      <x:c r="B41" s="31"/>
      <x:c r="C41" s="31"/>
      <x:c r="D41" s="31"/>
      <x:c r="E41" s="42"/>
      <x:c r="F41" s="31"/>
      <x:c r="G41" s="31"/>
      <x:c r="H41" s="31"/>
      <x:c r="I41" s="31"/>
      <x:c r="J41" s="31"/>
      <x:c r="K41" s="31"/>
      <x:c r="L41" s="31"/>
      <x:c r="M41" s="31"/>
    </x:row>
    <x:row r="42">
      <x:c r="A42" s="31"/>
      <x:c r="B42" s="31"/>
      <x:c r="C42" s="31"/>
      <x:c r="D42" s="31"/>
      <x:c r="E42" s="42"/>
      <x:c r="F42" s="31"/>
      <x:c r="G42" s="31"/>
      <x:c r="H42" s="31"/>
      <x:c r="I42" s="31"/>
      <x:c r="J42" s="31"/>
      <x:c r="K42" s="31"/>
      <x:c r="L42" s="31"/>
      <x:c r="M42" s="31"/>
    </x:row>
    <x:row r="43">
      <x:c r="A43" s="31"/>
      <x:c r="B43" s="31"/>
      <x:c r="C43" s="31"/>
      <x:c r="D43" s="31"/>
      <x:c r="E43" s="42"/>
      <x:c r="F43" s="31"/>
      <x:c r="G43" s="31"/>
      <x:c r="H43" s="31"/>
      <x:c r="I43" s="31"/>
      <x:c r="J43" s="31"/>
      <x:c r="K43" s="31"/>
      <x:c r="L43" s="31"/>
      <x:c r="M43" s="31"/>
    </x:row>
    <x:row r="44">
      <x:c r="A44" s="31"/>
      <x:c r="B44" s="31"/>
      <x:c r="C44" s="31"/>
      <x:c r="D44" s="31"/>
      <x:c r="E44" s="42"/>
      <x:c r="F44" s="31"/>
      <x:c r="G44" s="31"/>
      <x:c r="H44" s="31"/>
      <x:c r="I44" s="31"/>
      <x:c r="J44" s="31"/>
      <x:c r="K44" s="31"/>
      <x:c r="L44" s="31"/>
      <x:c r="M44" s="31"/>
    </x:row>
    <x:row r="45">
      <x:c r="A45" s="31"/>
      <x:c r="B45" s="31"/>
      <x:c r="C45" s="31"/>
      <x:c r="D45" s="31"/>
      <x:c r="E45" s="42"/>
      <x:c r="F45" s="31"/>
      <x:c r="G45" s="31"/>
      <x:c r="H45" s="31"/>
      <x:c r="I45" s="31"/>
      <x:c r="J45" s="31"/>
      <x:c r="K45" s="31"/>
      <x:c r="L45" s="31"/>
      <x:c r="M45" s="31"/>
    </x:row>
    <x:row r="46">
      <x:c r="A46" s="31"/>
      <x:c r="B46" s="31"/>
      <x:c r="C46" s="31"/>
      <x:c r="D46" s="31"/>
      <x:c r="E46" s="42"/>
      <x:c r="F46" s="31"/>
      <x:c r="G46" s="31"/>
      <x:c r="H46" s="31"/>
      <x:c r="I46" s="31"/>
      <x:c r="J46" s="31"/>
      <x:c r="K46" s="31"/>
      <x:c r="L46" s="31"/>
      <x:c r="M46" s="31"/>
    </x:row>
    <x:row r="47">
      <x:c r="A47" s="31"/>
      <x:c r="B47" s="31"/>
      <x:c r="C47" s="31"/>
      <x:c r="D47" s="31"/>
      <x:c r="E47" s="42"/>
      <x:c r="F47" s="31"/>
      <x:c r="G47" s="31"/>
      <x:c r="H47" s="31"/>
      <x:c r="I47" s="31"/>
      <x:c r="J47" s="31"/>
      <x:c r="K47" s="31"/>
      <x:c r="L47" s="31"/>
      <x:c r="M47" s="31"/>
    </x:row>
    <x:row r="48">
      <x:c r="A48" s="31"/>
      <x:c r="B48" s="31"/>
      <x:c r="C48" s="31"/>
      <x:c r="D48" s="31"/>
      <x:c r="E48" s="42"/>
      <x:c r="F48" s="31"/>
      <x:c r="G48" s="31"/>
      <x:c r="H48" s="31"/>
      <x:c r="I48" s="31"/>
      <x:c r="J48" s="31"/>
      <x:c r="K48" s="31"/>
      <x:c r="L48" s="31"/>
      <x:c r="M48" s="31"/>
    </x:row>
    <x:row r="49">
      <x:c r="A49" s="31"/>
      <x:c r="B49" s="31"/>
      <x:c r="C49" s="31"/>
      <x:c r="D49" s="31"/>
      <x:c r="E49" s="42"/>
      <x:c r="F49" s="31"/>
      <x:c r="G49" s="31"/>
      <x:c r="H49" s="31"/>
      <x:c r="I49" s="31"/>
      <x:c r="J49" s="31"/>
      <x:c r="K49" s="31"/>
      <x:c r="L49" s="31"/>
      <x:c r="M49" s="31"/>
    </x:row>
    <x:row r="50">
      <x:c r="A50" s="31"/>
      <x:c r="B50" s="31"/>
      <x:c r="C50" s="31"/>
      <x:c r="D50" s="31"/>
      <x:c r="E50" s="42"/>
      <x:c r="F50" s="31"/>
      <x:c r="G50" s="31"/>
      <x:c r="H50" s="31"/>
      <x:c r="I50" s="31"/>
      <x:c r="J50" s="31"/>
      <x:c r="K50" s="31"/>
      <x:c r="L50" s="31"/>
      <x:c r="M50" s="31"/>
    </x:row>
    <x:row r="51">
      <x:c r="A51" s="31"/>
      <x:c r="B51" s="31"/>
      <x:c r="C51" s="31"/>
      <x:c r="D51" s="31"/>
      <x:c r="E51" s="42"/>
      <x:c r="F51" s="31"/>
      <x:c r="G51" s="31"/>
      <x:c r="H51" s="31"/>
      <x:c r="I51" s="31"/>
      <x:c r="J51" s="31"/>
      <x:c r="K51" s="31"/>
      <x:c r="L51" s="31"/>
      <x:c r="M51" s="31"/>
    </x:row>
    <x:row r="52">
      <x:c r="A52" s="31"/>
      <x:c r="B52" s="31"/>
      <x:c r="C52" s="31"/>
      <x:c r="D52" s="31"/>
      <x:c r="E52" s="42"/>
      <x:c r="F52" s="31"/>
      <x:c r="G52" s="31"/>
      <x:c r="H52" s="31"/>
      <x:c r="I52" s="31"/>
      <x:c r="J52" s="31"/>
      <x:c r="K52" s="31"/>
      <x:c r="L52" s="31"/>
      <x:c r="M52" s="31"/>
    </x:row>
    <x:row r="53">
      <x:c r="A53" s="31"/>
      <x:c r="B53" s="31"/>
      <x:c r="C53" s="31"/>
      <x:c r="D53" s="31"/>
      <x:c r="E53" s="42"/>
      <x:c r="F53" s="31"/>
      <x:c r="G53" s="31"/>
      <x:c r="H53" s="31"/>
      <x:c r="I53" s="31"/>
      <x:c r="J53" s="31"/>
      <x:c r="K53" s="31"/>
      <x:c r="L53" s="31"/>
      <x:c r="M53" s="31"/>
    </x:row>
    <x:row r="54">
      <x:c r="A54" s="31"/>
      <x:c r="B54" s="31"/>
      <x:c r="C54" s="31"/>
      <x:c r="D54" s="31"/>
      <x:c r="E54" s="42"/>
      <x:c r="F54" s="31"/>
      <x:c r="G54" s="31"/>
      <x:c r="H54" s="31"/>
      <x:c r="I54" s="31"/>
      <x:c r="J54" s="31"/>
      <x:c r="K54" s="31"/>
      <x:c r="L54" s="31"/>
      <x:c r="M54" s="31"/>
    </x:row>
    <x:row r="55">
      <x:c r="A55" s="31"/>
      <x:c r="B55" s="31"/>
      <x:c r="C55" s="31"/>
      <x:c r="D55" s="31"/>
      <x:c r="E55" s="42"/>
      <x:c r="F55" s="31"/>
      <x:c r="G55" s="31"/>
      <x:c r="H55" s="31"/>
      <x:c r="I55" s="31"/>
      <x:c r="J55" s="31"/>
      <x:c r="K55" s="31"/>
      <x:c r="L55" s="31"/>
      <x:c r="M55" s="31"/>
    </x:row>
    <x:row r="56">
      <x:c r="A56" s="31"/>
      <x:c r="B56" s="31"/>
      <x:c r="C56" s="31"/>
      <x:c r="D56" s="31"/>
      <x:c r="E56" s="42"/>
      <x:c r="F56" s="31"/>
      <x:c r="G56" s="31"/>
      <x:c r="H56" s="31"/>
      <x:c r="I56" s="31"/>
      <x:c r="J56" s="31"/>
      <x:c r="K56" s="31"/>
      <x:c r="L56" s="31"/>
      <x:c r="M56" s="31"/>
    </x:row>
    <x:row r="57">
      <x:c r="A57" s="31"/>
      <x:c r="B57" s="31"/>
      <x:c r="C57" s="31"/>
      <x:c r="D57" s="31"/>
      <x:c r="E57" s="42"/>
      <x:c r="F57" s="31"/>
      <x:c r="G57" s="31"/>
      <x:c r="H57" s="31"/>
      <x:c r="I57" s="31"/>
      <x:c r="J57" s="31"/>
      <x:c r="K57" s="31"/>
      <x:c r="L57" s="31"/>
      <x:c r="M57" s="31"/>
    </x:row>
    <x:row r="58">
      <x:c r="A58" s="31"/>
      <x:c r="B58" s="31"/>
      <x:c r="C58" s="31"/>
      <x:c r="D58" s="31"/>
      <x:c r="E58" s="42"/>
      <x:c r="F58" s="31"/>
      <x:c r="G58" s="31"/>
      <x:c r="H58" s="31"/>
      <x:c r="I58" s="31"/>
      <x:c r="J58" s="31"/>
      <x:c r="K58" s="31"/>
      <x:c r="L58" s="31"/>
      <x:c r="M58" s="31"/>
    </x:row>
    <x:row r="59">
      <x:c r="A59" s="31"/>
      <x:c r="B59" s="31"/>
      <x:c r="C59" s="31"/>
      <x:c r="D59" s="31"/>
      <x:c r="E59" s="42"/>
      <x:c r="F59" s="31"/>
      <x:c r="G59" s="31"/>
      <x:c r="H59" s="31"/>
      <x:c r="I59" s="31"/>
      <x:c r="J59" s="31"/>
      <x:c r="K59" s="31"/>
      <x:c r="L59" s="31"/>
      <x:c r="M59" s="31"/>
    </x:row>
    <x:row r="60">
      <x:c r="A60" s="31"/>
      <x:c r="B60" s="31"/>
      <x:c r="C60" s="31"/>
      <x:c r="D60" s="31"/>
      <x:c r="E60" s="42"/>
      <x:c r="F60" s="31"/>
      <x:c r="G60" s="31"/>
      <x:c r="H60" s="31"/>
      <x:c r="I60" s="31"/>
      <x:c r="J60" s="31"/>
      <x:c r="K60" s="31"/>
      <x:c r="L60" s="31"/>
      <x:c r="M60" s="31"/>
    </x:row>
    <x:row r="61">
      <x:c r="A61" s="31"/>
      <x:c r="B61" s="31"/>
      <x:c r="C61" s="31"/>
      <x:c r="D61" s="31"/>
      <x:c r="E61" s="42"/>
      <x:c r="F61" s="31"/>
      <x:c r="G61" s="31"/>
      <x:c r="H61" s="31"/>
      <x:c r="I61" s="31"/>
      <x:c r="J61" s="31"/>
      <x:c r="K61" s="31"/>
      <x:c r="L61" s="31"/>
      <x:c r="M61" s="31"/>
    </x:row>
    <x:row r="62">
      <x:c r="A62" s="31"/>
      <x:c r="B62" s="31"/>
      <x:c r="C62" s="31"/>
      <x:c r="D62" s="31"/>
      <x:c r="E62" s="42"/>
      <x:c r="F62" s="31"/>
      <x:c r="G62" s="31"/>
      <x:c r="H62" s="31"/>
      <x:c r="I62" s="31"/>
      <x:c r="J62" s="31"/>
      <x:c r="K62" s="31"/>
      <x:c r="L62" s="31"/>
      <x:c r="M62" s="31"/>
    </x:row>
    <x:row r="63">
      <x:c r="A63" s="31"/>
      <x:c r="B63" s="31"/>
      <x:c r="C63" s="31"/>
      <x:c r="D63" s="31"/>
      <x:c r="E63" s="42"/>
      <x:c r="F63" s="31"/>
      <x:c r="G63" s="31"/>
      <x:c r="H63" s="31"/>
      <x:c r="I63" s="31"/>
      <x:c r="J63" s="31"/>
      <x:c r="K63" s="31"/>
      <x:c r="L63" s="31"/>
      <x:c r="M63" s="31"/>
    </x:row>
    <x:row r="64">
      <x:c r="A64" s="31"/>
      <x:c r="B64" s="31"/>
      <x:c r="C64" s="31"/>
      <x:c r="D64" s="31"/>
      <x:c r="E64" s="42"/>
      <x:c r="F64" s="31"/>
      <x:c r="G64" s="31"/>
      <x:c r="H64" s="31"/>
      <x:c r="I64" s="31"/>
      <x:c r="J64" s="31"/>
      <x:c r="K64" s="31"/>
      <x:c r="L64" s="31"/>
      <x:c r="M64" s="31"/>
    </x:row>
    <x:row r="65">
      <x:c r="A65" s="31"/>
      <x:c r="B65" s="31"/>
      <x:c r="C65" s="31"/>
      <x:c r="D65" s="31"/>
      <x:c r="E65" s="42"/>
      <x:c r="F65" s="31"/>
      <x:c r="G65" s="31"/>
      <x:c r="H65" s="31"/>
      <x:c r="I65" s="31"/>
      <x:c r="J65" s="31"/>
      <x:c r="K65" s="31"/>
      <x:c r="L65" s="31"/>
      <x:c r="M65" s="31"/>
    </x:row>
    <x:row r="66">
      <x:c r="A66" s="31"/>
      <x:c r="B66" s="31"/>
      <x:c r="C66" s="31"/>
      <x:c r="D66" s="31"/>
      <x:c r="E66" s="42"/>
      <x:c r="F66" s="31"/>
      <x:c r="G66" s="31"/>
      <x:c r="H66" s="31"/>
      <x:c r="I66" s="31"/>
      <x:c r="J66" s="31"/>
      <x:c r="K66" s="31"/>
      <x:c r="L66" s="31"/>
      <x:c r="M66" s="31"/>
    </x:row>
    <x:row r="67">
      <x:c r="A67" s="31"/>
      <x:c r="B67" s="31"/>
      <x:c r="C67" s="31"/>
      <x:c r="D67" s="31"/>
      <x:c r="E67" s="42"/>
      <x:c r="F67" s="31"/>
      <x:c r="G67" s="31"/>
      <x:c r="H67" s="31"/>
      <x:c r="I67" s="31"/>
      <x:c r="J67" s="31"/>
      <x:c r="K67" s="31"/>
      <x:c r="L67" s="31"/>
      <x:c r="M67" s="31"/>
    </x:row>
    <x:row r="68">
      <x:c r="A68" s="31"/>
      <x:c r="B68" s="31"/>
      <x:c r="C68" s="31"/>
      <x:c r="D68" s="31"/>
      <x:c r="E68" s="42"/>
      <x:c r="F68" s="31"/>
      <x:c r="G68" s="31"/>
      <x:c r="H68" s="31"/>
      <x:c r="I68" s="31"/>
      <x:c r="J68" s="31"/>
      <x:c r="K68" s="31"/>
      <x:c r="L68" s="31"/>
      <x:c r="M68" s="31"/>
    </x:row>
    <x:row r="69">
      <x:c r="A69" s="31"/>
      <x:c r="B69" s="31"/>
      <x:c r="C69" s="31"/>
      <x:c r="D69" s="31"/>
      <x:c r="E69" s="42"/>
      <x:c r="F69" s="31"/>
      <x:c r="G69" s="31"/>
      <x:c r="H69" s="31"/>
      <x:c r="I69" s="31"/>
      <x:c r="J69" s="31"/>
      <x:c r="K69" s="31"/>
      <x:c r="L69" s="31"/>
      <x:c r="M69" s="31"/>
    </x:row>
    <x:row r="70">
      <x:c r="A70" s="31"/>
      <x:c r="B70" s="31"/>
      <x:c r="C70" s="31"/>
      <x:c r="D70" s="31"/>
      <x:c r="E70" s="42"/>
      <x:c r="F70" s="31"/>
      <x:c r="G70" s="31"/>
      <x:c r="H70" s="31"/>
      <x:c r="I70" s="31"/>
      <x:c r="J70" s="31"/>
      <x:c r="K70" s="31"/>
      <x:c r="L70" s="31"/>
      <x:c r="M70" s="31"/>
    </x:row>
    <x:row r="71">
      <x:c r="A71" s="31"/>
      <x:c r="B71" s="31"/>
      <x:c r="C71" s="31"/>
      <x:c r="D71" s="31"/>
      <x:c r="E71" s="42"/>
      <x:c r="F71" s="31"/>
      <x:c r="G71" s="31"/>
      <x:c r="H71" s="31"/>
      <x:c r="I71" s="31"/>
      <x:c r="J71" s="31"/>
      <x:c r="K71" s="31"/>
      <x:c r="L71" s="31"/>
      <x:c r="M71" s="31"/>
    </x:row>
    <x:row r="72">
      <x:c r="A72" s="31"/>
      <x:c r="B72" s="31"/>
      <x:c r="C72" s="31"/>
      <x:c r="D72" s="31"/>
      <x:c r="E72" s="42"/>
      <x:c r="F72" s="31"/>
      <x:c r="G72" s="31"/>
      <x:c r="H72" s="31"/>
      <x:c r="I72" s="31"/>
      <x:c r="J72" s="31"/>
      <x:c r="K72" s="31"/>
      <x:c r="L72" s="31"/>
      <x:c r="M72" s="31"/>
    </x:row>
    <x:row r="73">
      <x:c r="A73" s="31"/>
      <x:c r="B73" s="31"/>
      <x:c r="C73" s="31"/>
      <x:c r="D73" s="31"/>
      <x:c r="E73" s="42"/>
      <x:c r="F73" s="31"/>
      <x:c r="G73" s="31"/>
      <x:c r="H73" s="31"/>
      <x:c r="I73" s="31"/>
      <x:c r="J73" s="31"/>
      <x:c r="K73" s="31"/>
      <x:c r="L73" s="31"/>
      <x:c r="M73" s="31"/>
    </x:row>
    <x:row r="74">
      <x:c r="A74" s="31"/>
      <x:c r="B74" s="31"/>
      <x:c r="C74" s="31"/>
      <x:c r="D74" s="31"/>
      <x:c r="E74" s="42"/>
      <x:c r="F74" s="31"/>
      <x:c r="G74" s="31"/>
      <x:c r="H74" s="31"/>
      <x:c r="I74" s="31"/>
      <x:c r="J74" s="31"/>
      <x:c r="K74" s="31"/>
      <x:c r="L74" s="31"/>
      <x:c r="M74" s="31"/>
    </x:row>
    <x:row r="75">
      <x:c r="A75" s="31"/>
      <x:c r="B75" s="31"/>
      <x:c r="C75" s="31"/>
      <x:c r="D75" s="31"/>
      <x:c r="E75" s="42"/>
      <x:c r="F75" s="31"/>
      <x:c r="G75" s="31"/>
      <x:c r="H75" s="31"/>
      <x:c r="I75" s="31"/>
      <x:c r="J75" s="31"/>
      <x:c r="K75" s="31"/>
      <x:c r="L75" s="31"/>
      <x:c r="M75" s="31"/>
    </x:row>
    <x:row r="76">
      <x:c r="A76" s="31"/>
      <x:c r="B76" s="31"/>
      <x:c r="C76" s="31"/>
      <x:c r="D76" s="31"/>
      <x:c r="E76" s="42"/>
      <x:c r="F76" s="31"/>
      <x:c r="G76" s="31"/>
      <x:c r="H76" s="31"/>
      <x:c r="I76" s="31"/>
      <x:c r="J76" s="31"/>
      <x:c r="K76" s="31"/>
      <x:c r="L76" s="31"/>
      <x:c r="M76" s="31"/>
    </x:row>
    <x:row r="77">
      <x:c r="A77" s="31"/>
      <x:c r="B77" s="31"/>
      <x:c r="C77" s="31"/>
      <x:c r="D77" s="31"/>
      <x:c r="E77" s="42"/>
      <x:c r="F77" s="31"/>
      <x:c r="G77" s="31"/>
      <x:c r="H77" s="31"/>
      <x:c r="I77" s="31"/>
      <x:c r="J77" s="31"/>
      <x:c r="K77" s="31"/>
      <x:c r="L77" s="31"/>
      <x:c r="M77" s="31"/>
    </x:row>
    <x:row r="78">
      <x:c r="A78" s="31"/>
      <x:c r="B78" s="31"/>
      <x:c r="C78" s="31"/>
      <x:c r="D78" s="31"/>
      <x:c r="E78" s="42"/>
      <x:c r="F78" s="31"/>
      <x:c r="G78" s="31"/>
      <x:c r="H78" s="31"/>
      <x:c r="I78" s="31"/>
      <x:c r="J78" s="31"/>
      <x:c r="K78" s="31"/>
      <x:c r="L78" s="31"/>
      <x:c r="M78" s="31"/>
    </x:row>
    <x:row r="79">
      <x:c r="A79" s="31"/>
      <x:c r="B79" s="31"/>
      <x:c r="C79" s="31"/>
      <x:c r="D79" s="31"/>
      <x:c r="E79" s="42"/>
      <x:c r="F79" s="31"/>
      <x:c r="G79" s="31"/>
      <x:c r="H79" s="31"/>
      <x:c r="I79" s="31"/>
      <x:c r="J79" s="31"/>
      <x:c r="K79" s="31"/>
      <x:c r="L79" s="31"/>
      <x:c r="M79" s="31"/>
    </x:row>
    <x:row r="80">
      <x:c r="A80" s="31"/>
      <x:c r="B80" s="31"/>
      <x:c r="C80" s="31"/>
      <x:c r="D80" s="31"/>
      <x:c r="E80" s="42"/>
      <x:c r="F80" s="31"/>
      <x:c r="G80" s="31"/>
      <x:c r="H80" s="31"/>
      <x:c r="I80" s="31"/>
      <x:c r="J80" s="31"/>
      <x:c r="K80" s="31"/>
      <x:c r="L80" s="31"/>
      <x:c r="M80" s="31"/>
    </x:row>
    <x:row r="81">
      <x:c r="A81" s="31"/>
      <x:c r="B81" s="31"/>
      <x:c r="C81" s="31"/>
      <x:c r="D81" s="31"/>
      <x:c r="E81" s="42"/>
      <x:c r="F81" s="31"/>
      <x:c r="G81" s="31"/>
      <x:c r="H81" s="31"/>
      <x:c r="I81" s="31"/>
      <x:c r="J81" s="31"/>
      <x:c r="K81" s="31"/>
      <x:c r="L81" s="31"/>
      <x:c r="M81" s="31"/>
    </x:row>
    <x:row r="82">
      <x:c r="A82" s="31"/>
      <x:c r="B82" s="31"/>
      <x:c r="C82" s="31"/>
      <x:c r="D82" s="31"/>
      <x:c r="E82" s="42"/>
      <x:c r="F82" s="31"/>
      <x:c r="G82" s="31"/>
      <x:c r="H82" s="31"/>
      <x:c r="I82" s="31"/>
      <x:c r="J82" s="31"/>
      <x:c r="K82" s="31"/>
      <x:c r="L82" s="31"/>
      <x:c r="M82" s="31"/>
    </x:row>
    <x:row r="83">
      <x:c r="A83" s="31"/>
      <x:c r="B83" s="31"/>
      <x:c r="C83" s="31"/>
      <x:c r="D83" s="31"/>
      <x:c r="E83" s="42"/>
      <x:c r="F83" s="31"/>
      <x:c r="G83" s="31"/>
      <x:c r="H83" s="31"/>
      <x:c r="I83" s="31"/>
      <x:c r="J83" s="31"/>
      <x:c r="K83" s="31"/>
      <x:c r="L83" s="31"/>
      <x:c r="M83" s="31"/>
    </x:row>
    <x:row r="84">
      <x:c r="A84" s="31"/>
      <x:c r="B84" s="31"/>
      <x:c r="C84" s="31"/>
      <x:c r="D84" s="31"/>
      <x:c r="E84" s="42"/>
      <x:c r="F84" s="31"/>
      <x:c r="G84" s="31"/>
      <x:c r="H84" s="31"/>
      <x:c r="I84" s="31"/>
      <x:c r="J84" s="31"/>
      <x:c r="K84" s="31"/>
      <x:c r="L84" s="31"/>
      <x:c r="M84" s="31"/>
    </x:row>
    <x:row r="85">
      <x:c r="A85" s="31"/>
      <x:c r="B85" s="31"/>
      <x:c r="C85" s="31"/>
      <x:c r="D85" s="31"/>
      <x:c r="E85" s="42"/>
      <x:c r="F85" s="31"/>
      <x:c r="G85" s="31"/>
      <x:c r="H85" s="31"/>
      <x:c r="I85" s="31"/>
      <x:c r="J85" s="31"/>
      <x:c r="K85" s="31"/>
      <x:c r="L85" s="31"/>
      <x:c r="M85" s="31"/>
    </x:row>
    <x:row r="86">
      <x:c r="A86" s="31"/>
      <x:c r="B86" s="31"/>
      <x:c r="C86" s="31"/>
      <x:c r="D86" s="31"/>
      <x:c r="E86" s="42"/>
      <x:c r="F86" s="31"/>
      <x:c r="G86" s="31"/>
      <x:c r="H86" s="31"/>
      <x:c r="I86" s="31"/>
      <x:c r="J86" s="31"/>
      <x:c r="K86" s="31"/>
      <x:c r="L86" s="31"/>
      <x:c r="M86" s="31"/>
    </x:row>
    <x:row r="87">
      <x:c r="A87" s="31"/>
      <x:c r="B87" s="31"/>
      <x:c r="C87" s="31"/>
      <x:c r="D87" s="31"/>
      <x:c r="E87" s="42"/>
      <x:c r="F87" s="31"/>
      <x:c r="G87" s="31"/>
      <x:c r="H87" s="31"/>
      <x:c r="I87" s="31"/>
      <x:c r="J87" s="31"/>
      <x:c r="K87" s="31"/>
      <x:c r="L87" s="31"/>
      <x:c r="M87" s="31"/>
    </x:row>
    <x:row r="88">
      <x:c r="A88" s="31"/>
      <x:c r="B88" s="31"/>
      <x:c r="C88" s="31"/>
      <x:c r="D88" s="31"/>
      <x:c r="E88" s="42"/>
      <x:c r="F88" s="31"/>
      <x:c r="G88" s="31"/>
      <x:c r="H88" s="31"/>
      <x:c r="I88" s="31"/>
      <x:c r="J88" s="31"/>
      <x:c r="K88" s="31"/>
      <x:c r="L88" s="31"/>
      <x:c r="M88" s="31"/>
    </x:row>
    <x:row r="89">
      <x:c r="A89" s="31"/>
      <x:c r="B89" s="31"/>
      <x:c r="C89" s="31"/>
      <x:c r="D89" s="31"/>
      <x:c r="E89" s="42"/>
      <x:c r="F89" s="31"/>
      <x:c r="G89" s="31"/>
      <x:c r="H89" s="31"/>
      <x:c r="I89" s="31"/>
      <x:c r="J89" s="31"/>
      <x:c r="K89" s="31"/>
      <x:c r="L89" s="31"/>
      <x:c r="M89" s="31"/>
    </x:row>
    <x:row r="90">
      <x:c r="A90" s="31"/>
      <x:c r="B90" s="31"/>
      <x:c r="C90" s="31"/>
      <x:c r="D90" s="31"/>
      <x:c r="E90" s="42"/>
      <x:c r="F90" s="31"/>
      <x:c r="G90" s="31"/>
      <x:c r="H90" s="31"/>
      <x:c r="I90" s="31"/>
      <x:c r="J90" s="31"/>
      <x:c r="K90" s="31"/>
      <x:c r="L90" s="31"/>
      <x:c r="M90" s="31"/>
    </x:row>
    <x:row r="91">
      <x:c r="A91" s="31"/>
      <x:c r="B91" s="31"/>
      <x:c r="C91" s="31"/>
      <x:c r="D91" s="31"/>
      <x:c r="E91" s="42"/>
      <x:c r="F91" s="31"/>
      <x:c r="G91" s="31"/>
      <x:c r="H91" s="31"/>
      <x:c r="I91" s="31"/>
      <x:c r="J91" s="31"/>
      <x:c r="K91" s="31"/>
      <x:c r="L91" s="31"/>
      <x:c r="M91" s="31"/>
    </x:row>
    <x:row r="92">
      <x:c r="A92" s="31"/>
      <x:c r="B92" s="31"/>
      <x:c r="C92" s="31"/>
      <x:c r="D92" s="31"/>
      <x:c r="E92" s="42"/>
      <x:c r="F92" s="31"/>
      <x:c r="G92" s="31"/>
      <x:c r="H92" s="31"/>
      <x:c r="I92" s="31"/>
      <x:c r="J92" s="31"/>
      <x:c r="K92" s="31"/>
      <x:c r="L92" s="31"/>
      <x:c r="M92" s="31"/>
    </x:row>
    <x:row r="93">
      <x:c r="A93" s="31"/>
      <x:c r="B93" s="31"/>
      <x:c r="C93" s="31"/>
      <x:c r="D93" s="31"/>
      <x:c r="E93" s="42"/>
      <x:c r="F93" s="31"/>
      <x:c r="G93" s="31"/>
      <x:c r="H93" s="31"/>
      <x:c r="I93" s="31"/>
      <x:c r="J93" s="31"/>
      <x:c r="K93" s="31"/>
      <x:c r="L93" s="31"/>
      <x:c r="M93" s="31"/>
    </x:row>
    <x:row r="94">
      <x:c r="A94" s="31"/>
      <x:c r="B94" s="31"/>
      <x:c r="C94" s="31"/>
      <x:c r="D94" s="31"/>
      <x:c r="E94" s="42"/>
      <x:c r="F94" s="31"/>
      <x:c r="G94" s="31"/>
      <x:c r="H94" s="31"/>
      <x:c r="I94" s="31"/>
      <x:c r="J94" s="31"/>
      <x:c r="K94" s="31"/>
      <x:c r="L94" s="31"/>
      <x:c r="M94" s="31"/>
    </x:row>
    <x:row r="95">
      <x:c r="A95" s="31"/>
      <x:c r="B95" s="31"/>
      <x:c r="C95" s="31"/>
      <x:c r="D95" s="31"/>
      <x:c r="E95" s="42"/>
      <x:c r="F95" s="31"/>
      <x:c r="G95" s="31"/>
      <x:c r="H95" s="31"/>
      <x:c r="I95" s="31"/>
      <x:c r="J95" s="31"/>
      <x:c r="K95" s="31"/>
      <x:c r="L95" s="31"/>
      <x:c r="M95" s="31"/>
    </x:row>
    <x:row r="96">
      <x:c r="A96" s="31"/>
      <x:c r="B96" s="31"/>
      <x:c r="C96" s="31"/>
      <x:c r="D96" s="31"/>
      <x:c r="E96" s="42"/>
      <x:c r="F96" s="31"/>
      <x:c r="G96" s="31"/>
      <x:c r="H96" s="31"/>
      <x:c r="I96" s="31"/>
      <x:c r="J96" s="31"/>
      <x:c r="K96" s="31"/>
      <x:c r="L96" s="31"/>
      <x:c r="M96" s="31"/>
    </x:row>
    <x:row r="97">
      <x:c r="A97" s="31"/>
      <x:c r="B97" s="31"/>
      <x:c r="C97" s="31"/>
      <x:c r="D97" s="31"/>
      <x:c r="E97" s="42"/>
      <x:c r="F97" s="31"/>
      <x:c r="G97" s="31"/>
      <x:c r="H97" s="31"/>
      <x:c r="I97" s="31"/>
      <x:c r="J97" s="31"/>
      <x:c r="K97" s="31"/>
      <x:c r="L97" s="31"/>
      <x:c r="M97" s="31"/>
    </x:row>
    <x:row r="98">
      <x:c r="A98" s="31"/>
      <x:c r="B98" s="31"/>
      <x:c r="C98" s="31"/>
      <x:c r="D98" s="31"/>
      <x:c r="E98" s="42"/>
      <x:c r="F98" s="31"/>
      <x:c r="G98" s="31"/>
      <x:c r="H98" s="31"/>
      <x:c r="I98" s="31"/>
      <x:c r="J98" s="31"/>
      <x:c r="K98" s="31"/>
      <x:c r="L98" s="31"/>
      <x:c r="M98" s="31"/>
    </x:row>
    <x:row r="99">
      <x:c r="A99" s="31"/>
      <x:c r="B99" s="31"/>
      <x:c r="C99" s="31"/>
      <x:c r="D99" s="31"/>
      <x:c r="E99" s="42"/>
      <x:c r="F99" s="31"/>
      <x:c r="G99" s="31"/>
      <x:c r="H99" s="31"/>
      <x:c r="I99" s="31"/>
      <x:c r="J99" s="31"/>
      <x:c r="K99" s="31"/>
      <x:c r="L99" s="31"/>
      <x:c r="M99" s="31"/>
    </x:row>
    <x:row r="100">
      <x:c r="A100" s="31"/>
      <x:c r="B100" s="31"/>
      <x:c r="C100" s="31"/>
      <x:c r="D100" s="31"/>
      <x:c r="E100" s="42"/>
      <x:c r="F100" s="31"/>
      <x:c r="G100" s="31"/>
      <x:c r="H100" s="31"/>
      <x:c r="I100" s="31"/>
      <x:c r="J100" s="31"/>
      <x:c r="K100" s="31"/>
      <x:c r="L100" s="31"/>
      <x:c r="M100" s="31"/>
    </x:row>
    <x:row r="101">
      <x:c r="A101" s="31"/>
      <x:c r="B101" s="31"/>
      <x:c r="C101" s="31"/>
      <x:c r="D101" s="31"/>
      <x:c r="E101" s="42"/>
      <x:c r="F101" s="31"/>
      <x:c r="G101" s="31"/>
      <x:c r="H101" s="31"/>
      <x:c r="I101" s="31"/>
      <x:c r="J101" s="31"/>
      <x:c r="K101" s="31"/>
      <x:c r="L101" s="31"/>
      <x:c r="M101" s="31"/>
    </x:row>
    <x:row r="102">
      <x:c r="A102" s="31"/>
      <x:c r="B102" s="31"/>
      <x:c r="C102" s="31"/>
      <x:c r="D102" s="31"/>
      <x:c r="E102" s="42"/>
      <x:c r="F102" s="31"/>
      <x:c r="G102" s="31"/>
      <x:c r="H102" s="31"/>
      <x:c r="I102" s="31"/>
      <x:c r="J102" s="31"/>
      <x:c r="K102" s="31"/>
      <x:c r="L102" s="31"/>
      <x:c r="M102" s="31"/>
    </x:row>
    <x:row r="103">
      <x:c r="A103" s="31"/>
      <x:c r="B103" s="31"/>
      <x:c r="C103" s="31"/>
      <x:c r="D103" s="31"/>
      <x:c r="E103" s="42"/>
      <x:c r="F103" s="31"/>
      <x:c r="G103" s="31"/>
      <x:c r="H103" s="31"/>
      <x:c r="I103" s="31"/>
      <x:c r="J103" s="31"/>
      <x:c r="K103" s="31"/>
      <x:c r="L103" s="31"/>
      <x:c r="M103" s="31"/>
    </x:row>
    <x:row r="104">
      <x:c r="A104" s="31"/>
      <x:c r="B104" s="31"/>
      <x:c r="C104" s="31"/>
      <x:c r="D104" s="31"/>
      <x:c r="E104" s="42"/>
      <x:c r="F104" s="31"/>
      <x:c r="G104" s="31"/>
      <x:c r="H104" s="31"/>
      <x:c r="I104" s="31"/>
      <x:c r="J104" s="31"/>
      <x:c r="K104" s="31"/>
      <x:c r="L104" s="31"/>
      <x:c r="M104" s="31"/>
    </x:row>
    <x:row r="105">
      <x:c r="A105" s="31"/>
      <x:c r="B105" s="31"/>
      <x:c r="C105" s="31"/>
      <x:c r="D105" s="31"/>
      <x:c r="E105" s="42"/>
      <x:c r="F105" s="31"/>
      <x:c r="G105" s="31"/>
      <x:c r="H105" s="31"/>
      <x:c r="I105" s="31"/>
      <x:c r="J105" s="31"/>
      <x:c r="K105" s="31"/>
      <x:c r="L105" s="31"/>
      <x:c r="M105" s="31"/>
    </x:row>
    <x:row r="106">
      <x:c r="A106"/>
      <x:c r="B106"/>
      <x:c r="C106"/>
      <x:c r="D106"/>
      <x:c r="E106" s="43"/>
      <x:c r="F106"/>
      <x:c r="G106"/>
      <x:c r="H106"/>
      <x:c r="I106"/>
      <x:c r="J106"/>
      <x:c r="K106"/>
      <x:c r="L106"/>
      <x:c r="M106"/>
    </x:row>
    <x:row r="107">
      <x:c r="A107"/>
      <x:c r="B107"/>
      <x:c r="C107"/>
      <x:c r="D107"/>
      <x:c r="E107" s="43"/>
      <x:c r="F107"/>
      <x:c r="G107"/>
      <x:c r="H107"/>
      <x:c r="I107"/>
      <x:c r="J107"/>
      <x:c r="K107"/>
      <x:c r="L107"/>
      <x:c r="M107"/>
    </x:row>
  </x:sheetData>
  <x:mergeCells>
    <x:mergeCell ref="A1:M1"/>
    <x:mergeCell ref="A2:M2"/>
  </x:mergeCells>
  <x:dataValidations count="2">
    <x:dataValidation type="list" sqref="K5:K107">
      <x:formula1>"Complete,Needs Review,Blocked,Rejected,Missing Proof"</x:formula1>
    </x:dataValidation>
    <x:dataValidation type="list" sqref="L5:L10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596d5ef8054e4d"/>
  </x:tableParts>
</x:worksheet>
</file>

<file path=xl/worksheets/sheet11.xml><?xml version="1.0" encoding="utf-8"?>
<x:worksheet xmlns:x="http://schemas.openxmlformats.org/spreadsheetml/2006/main">
  <x:sheetFormatPr defaultRowHeight="15"/>
  <x:cols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18" hidden="0" customWidth="1"/>
    <x:col min="11" max="11" width="18" hidden="0" customWidth="1"/>
    <x:col min="12" max="12" width="18" hidden="0" customWidth="1"/>
    <x:col min="1" max="1" width="98.37999725341797" hidden="0" customWidth="1"/>
    <x:col min="2" max="2" width="11.5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32" customHeight="1">
      <x:c r="A1" s="70" t="str">
        <x:v>TENDER + EXPORT OS v3.1 — COMPANY CONTROL CENTER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14" t="str">
        <x:v>Open this first. It summarizes cases, pending approvals, source health, supplier proof and next actions for Hermes/Codex operations.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>
      <x:c r="A4" s="62" t="str">
        <x:v>Active Cases</x:v>
      </x:c>
      <x:c r="B4" s="62"/>
      <x:c r="C4" s="62"/>
      <x:c r="E4" s="62" t="str">
        <x:v>Pending Approvals</x:v>
      </x:c>
      <x:c r="F4" s="62"/>
      <x:c r="G4" s="62"/>
      <x:c r="I4" s="62" t="str">
        <x:v>Supplier Responses Due</x:v>
      </x:c>
      <x:c r="J4" s="62"/>
      <x:c r="K4" s="62"/>
    </x:row>
    <x:row r="5">
      <x:c r="A5" s="66" t="n">
        <x:f>COUNTIFS(Master_Cases!A5:A107,"&lt;&gt;",Master_Cases!D5:D107,"&lt;&gt;Archived",Master_Cases!D5:D107,"&lt;&gt;Rejected",Master_Cases!D5:D107,"&lt;&gt;Lost")</x:f>
        <x:v>2</x:v>
      </x:c>
      <x:c r="B5" s="66"/>
      <x:c r="C5" s="66"/>
      <x:c r="E5" s="66" t="n">
        <x:f>COUNTIF(Approval_Queue!J5:J107,"Pending")</x:f>
        <x:v>1</x:v>
      </x:c>
      <x:c r="F5" s="66"/>
      <x:c r="G5" s="66"/>
      <x:c r="I5" s="66" t="n">
        <x:f>COUNTIF(Followup_CRM!H5:H107,"Due")</x:f>
        <x:v>1</x:v>
      </x:c>
      <x:c r="J5" s="66"/>
      <x:c r="K5" s="66"/>
    </x:row>
    <x:row r="6">
      <x:c r="A6" s="66"/>
      <x:c r="B6" s="66"/>
      <x:c r="C6" s="66"/>
      <x:c r="E6" s="66"/>
      <x:c r="F6" s="66"/>
      <x:c r="G6" s="66"/>
      <x:c r="I6" s="66"/>
      <x:c r="J6" s="66"/>
      <x:c r="K6" s="66"/>
    </x:row>
    <x:row r="7">
      <x:c r="A7" s="62" t="str">
        <x:v>High Score Cases</x:v>
      </x:c>
      <x:c r="B7" s="62"/>
      <x:c r="C7" s="62"/>
      <x:c r="E7" s="62" t="str">
        <x:v>Broken Sources</x:v>
      </x:c>
      <x:c r="F7" s="62"/>
      <x:c r="G7" s="62"/>
      <x:c r="I7" s="62" t="str">
        <x:v>Cases Ready for Approval</x:v>
      </x:c>
      <x:c r="J7" s="62"/>
      <x:c r="K7" s="62"/>
    </x:row>
    <x:row r="8">
      <x:c r="A8" s="66" t="n">
        <x:f>COUNTIFS(Master_Cases!N5:N107,"&gt;=75",Master_Cases!D5:D107,"&lt;&gt;Rejected",Master_Cases!A5:A107,"&lt;&gt;")</x:f>
        <x:v>2</x:v>
      </x:c>
      <x:c r="B8" s="66"/>
      <x:c r="C8" s="66"/>
      <x:c r="E8" s="66" t="n">
        <x:f>COUNTIF(Source_Health!H5:H107,"Broken")</x:f>
        <x:v>0</x:v>
      </x:c>
      <x:c r="F8" s="66"/>
      <x:c r="G8" s="66"/>
      <x:c r="I8" s="66" t="n">
        <x:f>COUNTIF(Master_Cases!C5:C107,"APPROVAL_REQUIRED")</x:f>
        <x:v>0</x:v>
      </x:c>
      <x:c r="J8" s="66"/>
      <x:c r="K8" s="66"/>
    </x:row>
    <x:row r="9">
      <x:c r="A9" s="66"/>
      <x:c r="B9" s="66"/>
      <x:c r="C9" s="66"/>
      <x:c r="E9" s="66"/>
      <x:c r="F9" s="66"/>
      <x:c r="G9" s="66"/>
      <x:c r="I9" s="66"/>
      <x:c r="J9" s="66"/>
      <x:c r="K9" s="66"/>
    </x:row>
    <x:row r="12">
      <x:c r="A12" s="24" t="str">
        <x:v>Stage</x:v>
      </x:c>
      <x:c r="B12" s="24" t="str">
        <x:v>GOV Count</x:v>
      </x:c>
      <x:c r="C12" s="24" t="str">
        <x:v>EXP Count</x:v>
      </x:c>
      <x:c r="D12" s="24" t="str">
        <x:v>Total</x:v>
      </x:c>
      <x:c r="F12" s="24" t="str">
        <x:v>Approval_ID</x:v>
      </x:c>
      <x:c r="G12" s="24" t="str">
        <x:v>Case_ID</x:v>
      </x:c>
      <x:c r="H12" s="24" t="str">
        <x:v>Type</x:v>
      </x:c>
      <x:c r="I12" s="24" t="str">
        <x:v>Action</x:v>
      </x:c>
      <x:c r="J12" s="24" t="str">
        <x:v>Status</x:v>
      </x:c>
      <x:c r="K12" s="24" t="str">
        <x:v>Due</x:v>
      </x:c>
      <x:c r="L12" s="24" t="str">
        <x:v>Decision</x:v>
      </x:c>
    </x:row>
    <x:row r="13">
      <x:c r="A13" s="30" t="str">
        <x:v>NEW</x:v>
      </x:c>
      <x:c r="B13" s="30" t="n">
        <x:f>COUNTIFS(Master_Cases!B:B,"GOV",Master_Cases!C:C,A13)</x:f>
        <x:v>0</x:v>
      </x:c>
      <x:c r="C13" s="30" t="n">
        <x:f>COUNTIFS(Master_Cases!B:B,"EXP",Master_Cases!C:C,A13)</x:f>
        <x:v>0</x:v>
      </x:c>
      <x:c r="D13" s="30" t="n">
        <x:f>SUM(B13:C13)</x:f>
        <x:v>0</x:v>
      </x:c>
      <x:c r="F13" t="str">
        <x:f>IF(Approval_Queue!A5="","",Approval_Queue!A5)</x:f>
        <x:v>APR-20260630-001</x:v>
      </x:c>
      <x:c r="G13" t="str">
        <x:f>IF(Approval_Queue!B5="","",Approval_Queue!B5)</x:f>
        <x:v>EXP-20260630-001</x:v>
      </x:c>
      <x:c r="H13" t="str">
        <x:f>IF(Approval_Queue!C5="","",Approval_Queue!C5)</x:f>
        <x:v>Supplier Outreach</x:v>
      </x:c>
      <x:c r="I13" t="str">
        <x:f>IF(Approval_Queue!D5="","",Approval_Queue!D5)</x:f>
        <x:v>Send quote request to 5 candidate tote-bag suppliers</x:v>
      </x:c>
      <x:c r="J13" t="str">
        <x:f>IF(Approval_Queue!J5="","",Approval_Queue!J5)</x:f>
        <x:v>Pending</x:v>
      </x:c>
      <x:c r="K13" s="52" t="str">
        <x:f>IF(Approval_Queue!L5="","",Approval_Queue!L5)</x:f>
      </x:c>
      <x:c r="L13" t="str">
        <x:f>IF(Approval_Queue!K5="","",Approval_Queue!K5)</x:f>
      </x:c>
    </x:row>
    <x:row r="14">
      <x:c r="A14" s="30" t="str">
        <x:v>FAST_KILL</x:v>
      </x:c>
      <x:c r="B14" s="30" t="n">
        <x:f>COUNTIFS(Master_Cases!B:B,"GOV",Master_Cases!C:C,A14)</x:f>
        <x:v>1</x:v>
      </x:c>
      <x:c r="C14" s="30" t="n">
        <x:f>COUNTIFS(Master_Cases!B:B,"EXP",Master_Cases!C:C,A14)</x:f>
        <x:v>0</x:v>
      </x:c>
      <x:c r="D14" s="30" t="n">
        <x:f>SUM(B14:C14)</x:f>
        <x:v>1</x:v>
      </x:c>
      <x:c r="F14" t="str">
        <x:f>IF(Approval_Queue!A6="","",Approval_Queue!A6)</x:f>
        <x:v>APR-20260630-002</x:v>
      </x:c>
      <x:c r="G14" t="str">
        <x:f>IF(Approval_Queue!B6="","",Approval_Queue!B6)</x:f>
        <x:v>GOV-20260630-001</x:v>
      </x:c>
      <x:c r="H14" t="str">
        <x:f>IF(Approval_Queue!C6="","",Approval_Queue!C6)</x:f>
        <x:v>Bid Submission</x:v>
      </x:c>
      <x:c r="I14" t="str">
        <x:f>IF(Approval_Queue!D6="","",Approval_Queue!D6)</x:f>
        <x:v>Prepare bid pack for housekeeping consumables, no submission yet</x:v>
      </x:c>
      <x:c r="J14" t="str">
        <x:f>IF(Approval_Queue!J6="","",Approval_Queue!J6)</x:f>
        <x:v>Draft</x:v>
      </x:c>
      <x:c r="K14" s="52" t="str">
        <x:f>IF(Approval_Queue!L6="","",Approval_Queue!L6)</x:f>
      </x:c>
      <x:c r="L14" t="str">
        <x:f>IF(Approval_Queue!K6="","",Approval_Queue!K6)</x:f>
      </x:c>
    </x:row>
    <x:row r="15">
      <x:c r="A15" s="30" t="str">
        <x:v>DEEP_READ</x:v>
      </x:c>
      <x:c r="B15" s="30" t="n">
        <x:f>COUNTIFS(Master_Cases!B:B,"GOV",Master_Cases!C:C,A15)</x:f>
        <x:v>0</x:v>
      </x:c>
      <x:c r="C15" s="30" t="n">
        <x:f>COUNTIFS(Master_Cases!B:B,"EXP",Master_Cases!C:C,A15)</x:f>
        <x:v>0</x:v>
      </x:c>
      <x:c r="D15" s="30" t="n">
        <x:f>SUM(B15:C15)</x:f>
        <x:v>0</x:v>
      </x:c>
      <x:c r="F15" t="str">
        <x:f>IF(Approval_Queue!A7="","",Approval_Queue!A7)</x:f>
      </x:c>
      <x:c r="G15" t="str">
        <x:f>IF(Approval_Queue!B7="","",Approval_Queue!B7)</x:f>
      </x:c>
      <x:c r="H15" t="str">
        <x:f>IF(Approval_Queue!C7="","",Approval_Queue!C7)</x:f>
      </x:c>
      <x:c r="I15" t="str">
        <x:f>IF(Approval_Queue!D7="","",Approval_Queue!D7)</x:f>
      </x:c>
      <x:c r="J15" t="str">
        <x:f>IF(Approval_Queue!J7="","",Approval_Queue!J7)</x:f>
      </x:c>
      <x:c r="K15" s="52" t="str">
        <x:f>IF(Approval_Queue!L7="","",Approval_Queue!L7)</x:f>
      </x:c>
      <x:c r="L15" t="str">
        <x:f>IF(Approval_Queue!K7="","",Approval_Queue!K7)</x:f>
      </x:c>
    </x:row>
    <x:row r="16">
      <x:c r="A16" s="30" t="str">
        <x:v>SUPPLIER_SEARCH</x:v>
      </x:c>
      <x:c r="B16" s="30" t="n">
        <x:f>COUNTIFS(Master_Cases!B:B,"GOV",Master_Cases!C:C,A16)</x:f>
        <x:v>0</x:v>
      </x:c>
      <x:c r="C16" s="30" t="n">
        <x:f>COUNTIFS(Master_Cases!B:B,"EXP",Master_Cases!C:C,A16)</x:f>
        <x:v>1</x:v>
      </x:c>
      <x:c r="D16" s="30" t="n">
        <x:f>SUM(B16:C16)</x:f>
        <x:v>1</x:v>
      </x:c>
      <x:c r="F16" t="str">
        <x:f>IF(Approval_Queue!A8="","",Approval_Queue!A8)</x:f>
      </x:c>
      <x:c r="G16" t="str">
        <x:f>IF(Approval_Queue!B8="","",Approval_Queue!B8)</x:f>
      </x:c>
      <x:c r="H16" t="str">
        <x:f>IF(Approval_Queue!C8="","",Approval_Queue!C8)</x:f>
      </x:c>
      <x:c r="I16" t="str">
        <x:f>IF(Approval_Queue!D8="","",Approval_Queue!D8)</x:f>
      </x:c>
      <x:c r="J16" t="str">
        <x:f>IF(Approval_Queue!J8="","",Approval_Queue!J8)</x:f>
      </x:c>
      <x:c r="K16" s="52" t="str">
        <x:f>IF(Approval_Queue!L8="","",Approval_Queue!L8)</x:f>
      </x:c>
      <x:c r="L16" t="str">
        <x:f>IF(Approval_Queue!K8="","",Approval_Queue!K8)</x:f>
      </x:c>
    </x:row>
    <x:row r="17">
      <x:c r="A17" s="30" t="str">
        <x:v>PRICING_READY</x:v>
      </x:c>
      <x:c r="B17" s="30" t="n">
        <x:f>COUNTIFS(Master_Cases!B:B,"GOV",Master_Cases!C:C,A17)</x:f>
        <x:v>0</x:v>
      </x:c>
      <x:c r="C17" s="30" t="n">
        <x:f>COUNTIFS(Master_Cases!B:B,"EXP",Master_Cases!C:C,A17)</x:f>
        <x:v>0</x:v>
      </x:c>
      <x:c r="D17" s="30" t="n">
        <x:f>SUM(B17:C17)</x:f>
        <x:v>0</x:v>
      </x:c>
      <x:c r="F17" t="str">
        <x:f>IF(Approval_Queue!A9="","",Approval_Queue!A9)</x:f>
      </x:c>
      <x:c r="G17" t="str">
        <x:f>IF(Approval_Queue!B9="","",Approval_Queue!B9)</x:f>
      </x:c>
      <x:c r="H17" t="str">
        <x:f>IF(Approval_Queue!C9="","",Approval_Queue!C9)</x:f>
      </x:c>
      <x:c r="I17" t="str">
        <x:f>IF(Approval_Queue!D9="","",Approval_Queue!D9)</x:f>
      </x:c>
      <x:c r="J17" t="str">
        <x:f>IF(Approval_Queue!J9="","",Approval_Queue!J9)</x:f>
      </x:c>
      <x:c r="K17" s="52" t="str">
        <x:f>IF(Approval_Queue!L9="","",Approval_Queue!L9)</x:f>
      </x:c>
      <x:c r="L17" t="str">
        <x:f>IF(Approval_Queue!K9="","",Approval_Queue!K9)</x:f>
      </x:c>
    </x:row>
    <x:row r="18">
      <x:c r="A18" s="30" t="str">
        <x:v>APPROVAL_REQUIRED</x:v>
      </x:c>
      <x:c r="B18" s="30" t="n">
        <x:f>COUNTIFS(Master_Cases!B:B,"GOV",Master_Cases!C:C,A18)</x:f>
        <x:v>0</x:v>
      </x:c>
      <x:c r="C18" s="30" t="n">
        <x:f>COUNTIFS(Master_Cases!B:B,"EXP",Master_Cases!C:C,A18)</x:f>
        <x:v>0</x:v>
      </x:c>
      <x:c r="D18" s="30" t="n">
        <x:f>SUM(B18:C18)</x:f>
        <x:v>0</x:v>
      </x:c>
      <x:c r="F18" t="str">
        <x:f>IF(Approval_Queue!A10="","",Approval_Queue!A10)</x:f>
      </x:c>
      <x:c r="G18" t="str">
        <x:f>IF(Approval_Queue!B10="","",Approval_Queue!B10)</x:f>
      </x:c>
      <x:c r="H18" t="str">
        <x:f>IF(Approval_Queue!C10="","",Approval_Queue!C10)</x:f>
      </x:c>
      <x:c r="I18" t="str">
        <x:f>IF(Approval_Queue!D10="","",Approval_Queue!D10)</x:f>
      </x:c>
      <x:c r="J18" t="str">
        <x:f>IF(Approval_Queue!J10="","",Approval_Queue!J10)</x:f>
      </x:c>
      <x:c r="K18" s="52" t="str">
        <x:f>IF(Approval_Queue!L10="","",Approval_Queue!L10)</x:f>
      </x:c>
      <x:c r="L18" t="str">
        <x:f>IF(Approval_Queue!K10="","",Approval_Queue!K10)</x:f>
      </x:c>
    </x:row>
    <x:row r="19">
      <x:c r="A19" s="30" t="str">
        <x:v>SENT_OR_SUBMITTED</x:v>
      </x:c>
      <x:c r="B19" s="30" t="n">
        <x:f>COUNTIFS(Master_Cases!B:B,"GOV",Master_Cases!C:C,A19)</x:f>
        <x:v>0</x:v>
      </x:c>
      <x:c r="C19" s="30" t="n">
        <x:f>COUNTIFS(Master_Cases!B:B,"EXP",Master_Cases!C:C,A19)</x:f>
        <x:v>0</x:v>
      </x:c>
      <x:c r="D19" s="30" t="n">
        <x:f>SUM(B19:C19)</x:f>
        <x:v>0</x:v>
      </x:c>
      <x:c r="F19" t="str">
        <x:f>IF(Approval_Queue!A11="","",Approval_Queue!A11)</x:f>
      </x:c>
      <x:c r="G19" t="str">
        <x:f>IF(Approval_Queue!B11="","",Approval_Queue!B11)</x:f>
      </x:c>
      <x:c r="H19" t="str">
        <x:f>IF(Approval_Queue!C11="","",Approval_Queue!C11)</x:f>
      </x:c>
      <x:c r="I19" t="str">
        <x:f>IF(Approval_Queue!D11="","",Approval_Queue!D11)</x:f>
      </x:c>
      <x:c r="J19" t="str">
        <x:f>IF(Approval_Queue!J11="","",Approval_Queue!J11)</x:f>
      </x:c>
      <x:c r="K19" s="52" t="str">
        <x:f>IF(Approval_Queue!L11="","",Approval_Queue!L11)</x:f>
      </x:c>
      <x:c r="L19" t="str">
        <x:f>IF(Approval_Queue!K11="","",Approval_Queue!K11)</x:f>
      </x:c>
    </x:row>
    <x:row r="20">
      <x:c r="A20" s="30" t="str">
        <x:v>FOLLOW_UP</x:v>
      </x:c>
      <x:c r="B20" s="30" t="n">
        <x:f>COUNTIFS(Master_Cases!B:B,"GOV",Master_Cases!C:C,A20)</x:f>
        <x:v>0</x:v>
      </x:c>
      <x:c r="C20" s="30" t="n">
        <x:f>COUNTIFS(Master_Cases!B:B,"EXP",Master_Cases!C:C,A20)</x:f>
        <x:v>0</x:v>
      </x:c>
      <x:c r="D20" s="30" t="n">
        <x:f>SUM(B20:C20)</x:f>
        <x:v>0</x:v>
      </x:c>
      <x:c r="F20" t="str">
        <x:f>IF(Approval_Queue!A12="","",Approval_Queue!A12)</x:f>
      </x:c>
      <x:c r="G20" t="str">
        <x:f>IF(Approval_Queue!B12="","",Approval_Queue!B12)</x:f>
      </x:c>
      <x:c r="H20" t="str">
        <x:f>IF(Approval_Queue!C12="","",Approval_Queue!C12)</x:f>
      </x:c>
      <x:c r="I20" t="str">
        <x:f>IF(Approval_Queue!D12="","",Approval_Queue!D12)</x:f>
      </x:c>
      <x:c r="J20" t="str">
        <x:f>IF(Approval_Queue!J12="","",Approval_Queue!J12)</x:f>
      </x:c>
      <x:c r="K20" s="52" t="str">
        <x:f>IF(Approval_Queue!L12="","",Approval_Queue!L12)</x:f>
      </x:c>
      <x:c r="L20" t="str">
        <x:f>IF(Approval_Queue!K12="","",Approval_Queue!K12)</x:f>
      </x:c>
    </x:row>
    <x:row r="21">
      <x:c r="A21" s="30" t="str">
        <x:v>WON</x:v>
      </x:c>
      <x:c r="B21" s="30" t="n">
        <x:f>COUNTIFS(Master_Cases!B:B,"GOV",Master_Cases!C:C,A21)</x:f>
        <x:v>0</x:v>
      </x:c>
      <x:c r="C21" s="30" t="n">
        <x:f>COUNTIFS(Master_Cases!B:B,"EXP",Master_Cases!C:C,A21)</x:f>
        <x:v>0</x:v>
      </x:c>
      <x:c r="D21" s="30" t="n">
        <x:f>SUM(B21:C21)</x:f>
        <x:v>0</x:v>
      </x:c>
      <x:c r="F21" t="str">
        <x:f>IF(Approval_Queue!A13="","",Approval_Queue!A13)</x:f>
      </x:c>
      <x:c r="G21" t="str">
        <x:f>IF(Approval_Queue!B13="","",Approval_Queue!B13)</x:f>
      </x:c>
      <x:c r="H21" t="str">
        <x:f>IF(Approval_Queue!C13="","",Approval_Queue!C13)</x:f>
      </x:c>
      <x:c r="I21" t="str">
        <x:f>IF(Approval_Queue!D13="","",Approval_Queue!D13)</x:f>
      </x:c>
      <x:c r="J21" t="str">
        <x:f>IF(Approval_Queue!J13="","",Approval_Queue!J13)</x:f>
      </x:c>
      <x:c r="K21" s="52" t="str">
        <x:f>IF(Approval_Queue!L13="","",Approval_Queue!L13)</x:f>
      </x:c>
      <x:c r="L21" t="str">
        <x:f>IF(Approval_Queue!K13="","",Approval_Queue!K13)</x:f>
      </x:c>
    </x:row>
    <x:row r="22">
      <x:c r="A22" s="30" t="str">
        <x:v>LOST</x:v>
      </x:c>
      <x:c r="B22" s="30" t="n">
        <x:f>COUNTIFS(Master_Cases!B:B,"GOV",Master_Cases!C:C,A22)</x:f>
        <x:v>0</x:v>
      </x:c>
      <x:c r="C22" s="30" t="n">
        <x:f>COUNTIFS(Master_Cases!B:B,"EXP",Master_Cases!C:C,A22)</x:f>
        <x:v>0</x:v>
      </x:c>
      <x:c r="D22" s="30" t="n">
        <x:f>SUM(B22:C22)</x:f>
        <x:v>0</x:v>
      </x:c>
      <x:c r="F22" t="str">
        <x:f>IF(Approval_Queue!A14="","",Approval_Queue!A14)</x:f>
      </x:c>
      <x:c r="G22" t="str">
        <x:f>IF(Approval_Queue!B14="","",Approval_Queue!B14)</x:f>
      </x:c>
      <x:c r="H22" t="str">
        <x:f>IF(Approval_Queue!C14="","",Approval_Queue!C14)</x:f>
      </x:c>
      <x:c r="I22" t="str">
        <x:f>IF(Approval_Queue!D14="","",Approval_Queue!D14)</x:f>
      </x:c>
      <x:c r="J22" t="str">
        <x:f>IF(Approval_Queue!J14="","",Approval_Queue!J14)</x:f>
      </x:c>
      <x:c r="K22" s="52" t="str">
        <x:f>IF(Approval_Queue!L14="","",Approval_Queue!L14)</x:f>
      </x:c>
      <x:c r="L22" t="str">
        <x:f>IF(Approval_Queue!K14="","",Approval_Queue!K14)</x:f>
      </x:c>
    </x:row>
    <x:row r="23">
      <x:c r="A23" s="30" t="str">
        <x:v>ARCHIVED</x:v>
      </x:c>
      <x:c r="B23" s="30" t="n">
        <x:f>COUNTIFS(Master_Cases!B:B,"GOV",Master_Cases!C:C,A23)</x:f>
        <x:v>1</x:v>
      </x:c>
      <x:c r="C23" s="30" t="n">
        <x:f>COUNTIFS(Master_Cases!B:B,"EXP",Master_Cases!C:C,A23)</x:f>
        <x:v>0</x:v>
      </x:c>
      <x:c r="D23" s="30" t="n">
        <x:f>SUM(B23:C23)</x:f>
        <x:v>1</x:v>
      </x:c>
    </x:row>
    <x:row r="24">
      <x:c r="A24" s="30" t="str">
        <x:v>WATCHLIST</x:v>
      </x:c>
      <x:c r="B24" s="30" t="n">
        <x:f>COUNTIFS(Master_Cases!B:B,"GOV",Master_Cases!C:C,A24)</x:f>
        <x:v>0</x:v>
      </x:c>
      <x:c r="C24" s="30" t="n">
        <x:f>COUNTIFS(Master_Cases!B:B,"EXP",Master_Cases!C:C,A24)</x:f>
        <x:v>0</x:v>
      </x:c>
      <x:c r="D24" s="30" t="n">
        <x:f>SUM(B24:C24)</x:f>
        <x:v>0</x:v>
      </x:c>
    </x:row>
    <x:row r="27">
      <x:c r="A27" s="24" t="str">
        <x:v>Source Status</x:v>
      </x:c>
      <x:c r="B27" s="24" t="str">
        <x:v>Count</x:v>
      </x:c>
      <x:c r="C27" s="24" t="str">
        <x:v>Action Meaning</x:v>
      </x:c>
      <x:c r="D27" s="24" t="str">
        <x:v>Owner Rule</x:v>
      </x:c>
      <x:c r="E27" s="24" t="str">
        <x:v>Notes</x:v>
      </x:c>
    </x:row>
    <x:row r="28">
      <x:c r="A28" t="str">
        <x:v>Working</x:v>
      </x:c>
      <x:c r="B28" t="n">
        <x:f>COUNTIF(Source_Health!H:H,A28)</x:f>
        <x:v>5</x:v>
      </x:c>
      <x:c r="C28" t="str">
        <x:v>Keep in scan rotation</x:v>
      </x:c>
      <x:c r="D28" t="str">
        <x:v>Radar Agent / Owner</x:v>
      </x:c>
      <x:c r="E28" t="str">
        <x:v>Source-health log must be updated after failures.</x:v>
      </x:c>
    </x:row>
    <x:row r="29">
      <x:c r="A29" t="str">
        <x:v>Needs Login</x:v>
      </x:c>
      <x:c r="B29" t="n">
        <x:f>COUNTIF(Source_Health!H:H,A29)</x:f>
        <x:v>0</x:v>
      </x:c>
      <x:c r="C29" t="str">
        <x:v>Use manual/credential-approved check only</x:v>
      </x:c>
      <x:c r="D29" t="str">
        <x:v>Radar Agent / Owner</x:v>
      </x:c>
      <x:c r="E29" t="str">
        <x:v>Source-health log must be updated after failures.</x:v>
      </x:c>
    </x:row>
    <x:row r="30">
      <x:c r="A30" t="str">
        <x:v>Paywalled</x:v>
      </x:c>
      <x:c r="B30" t="n">
        <x:f>COUNTIF(Source_Health!H:H,A30)</x:f>
        <x:v>0</x:v>
      </x:c>
      <x:c r="C30" t="str">
        <x:v>Use only if ROI justifies subscription</x:v>
      </x:c>
      <x:c r="D30" t="str">
        <x:v>Radar Agent / Owner</x:v>
      </x:c>
      <x:c r="E30" t="str">
        <x:v>Source-health log must be updated after failures.</x:v>
      </x:c>
    </x:row>
    <x:row r="31">
      <x:c r="A31" t="str">
        <x:v>Low Relevance</x:v>
      </x:c>
      <x:c r="B31" t="n">
        <x:f>COUNTIF(Source_Health!H:H,A31)</x:f>
        <x:v>0</x:v>
      </x:c>
      <x:c r="C31" t="str">
        <x:v>Weekly only or pause</x:v>
      </x:c>
      <x:c r="D31" t="str">
        <x:v>Radar Agent / Owner</x:v>
      </x:c>
      <x:c r="E31" t="str">
        <x:v>Source-health log must be updated after failures.</x:v>
      </x:c>
    </x:row>
    <x:row r="32">
      <x:c r="A32" t="str">
        <x:v>Broken</x:v>
      </x:c>
      <x:c r="B32" t="n">
        <x:f>COUNTIF(Source_Health!H:H,A32)</x:f>
        <x:v>0</x:v>
      </x:c>
      <x:c r="C32" t="str">
        <x:v>Remove until fixed</x:v>
      </x:c>
      <x:c r="D32" t="str">
        <x:v>Radar Agent / Owner</x:v>
      </x:c>
      <x:c r="E32" t="str">
        <x:v>Source-health log must be updated after failures.</x:v>
      </x:c>
    </x:row>
    <x:row r="33">
      <x:c r="A33" t="str">
        <x:v>Manual Check Required</x:v>
      </x:c>
      <x:c r="B33" t="n">
        <x:f>COUNTIF(Source_Health!H:H,A33)</x:f>
        <x:v>1</x:v>
      </x:c>
      <x:c r="C33" t="str">
        <x:v>Do not rely as automated source</x:v>
      </x:c>
      <x:c r="D33" t="str">
        <x:v>Radar Agent / Owner</x:v>
      </x:c>
      <x:c r="E33" t="str">
        <x:v>Source-health log must be updated after failures.</x:v>
      </x:c>
    </x:row>
  </x:sheetData>
  <x:mergeCells>
    <x:mergeCell ref="A1:L1"/>
    <x:mergeCell ref="A2:L2"/>
    <x:mergeCell ref="A4:C4"/>
    <x:mergeCell ref="A5:C6"/>
    <x:mergeCell ref="E4:G4"/>
    <x:mergeCell ref="E5:G6"/>
    <x:mergeCell ref="I4:K4"/>
    <x:mergeCell ref="I5:K6"/>
    <x:mergeCell ref="A7:C7"/>
    <x:mergeCell ref="A8:C9"/>
    <x:mergeCell ref="E7:G7"/>
    <x:mergeCell ref="E8:G9"/>
    <x:mergeCell ref="I7:K7"/>
    <x:mergeCell ref="I8:K9"/>
  </x:mergeCells>
  <x:pageMargins left="0.7" right="0.7" top="0.75" bottom="0.75" header="0.3" footer="0.3"/>
  <x:tableParts count="1">
    <x:tablePart xmlns:r="http://schemas.openxmlformats.org/officeDocument/2006/relationships" r:id="R36218df3dd954d17"/>
  </x:tableParts>
</x:worksheet>
</file>